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erik\OneDrive\Documentos\"/>
    </mc:Choice>
  </mc:AlternateContent>
  <xr:revisionPtr revIDLastSave="0" documentId="13_ncr:1_{91FC7EE4-FA0A-4A44-84CB-5E6D89D50F5B}" xr6:coauthVersionLast="47" xr6:coauthVersionMax="47" xr10:uidLastSave="{00000000-0000-0000-0000-000000000000}"/>
  <bookViews>
    <workbookView xWindow="-120" yWindow="-120" windowWidth="19440" windowHeight="15000" tabRatio="500" firstSheet="3" activeTab="7" xr2:uid="{00000000-000D-0000-FFFF-FFFF00000000}"/>
  </bookViews>
  <sheets>
    <sheet name="Dashboard" sheetId="1" r:id="rId1"/>
    <sheet name="Formulario" sheetId="2" r:id="rId2"/>
    <sheet name="Productos" sheetId="4" r:id="rId3"/>
    <sheet name="Compras" sheetId="5" r:id="rId4"/>
    <sheet name="Ventas" sheetId="6" r:id="rId5"/>
    <sheet name="Inventario" sheetId="7" r:id="rId6"/>
    <sheet name="Rentabilidad" sheetId="8" r:id="rId7"/>
    <sheet name="Gráficos" sheetId="3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7" i="1" l="1"/>
  <c r="I26" i="1"/>
  <c r="I25" i="1"/>
  <c r="I24" i="1"/>
  <c r="I23" i="1"/>
  <c r="I22" i="1"/>
  <c r="I21" i="1"/>
  <c r="I20" i="1"/>
  <c r="I19" i="1"/>
  <c r="I18" i="1"/>
  <c r="M6" i="1"/>
  <c r="B8" i="2"/>
  <c r="I11" i="1"/>
  <c r="F103" i="8"/>
  <c r="E103" i="8"/>
  <c r="D103" i="8"/>
  <c r="C103" i="8"/>
  <c r="B103" i="8"/>
  <c r="F102" i="8"/>
  <c r="E102" i="8"/>
  <c r="G102" i="8" s="1"/>
  <c r="D102" i="8"/>
  <c r="C102" i="8"/>
  <c r="B102" i="8"/>
  <c r="F101" i="8"/>
  <c r="E101" i="8"/>
  <c r="D101" i="8"/>
  <c r="H101" i="8" s="1"/>
  <c r="C101" i="8"/>
  <c r="B101" i="8"/>
  <c r="F100" i="8"/>
  <c r="E100" i="8"/>
  <c r="G100" i="8" s="1"/>
  <c r="D100" i="8"/>
  <c r="C100" i="8"/>
  <c r="B100" i="8"/>
  <c r="F99" i="8"/>
  <c r="E99" i="8"/>
  <c r="D99" i="8"/>
  <c r="C99" i="8"/>
  <c r="B99" i="8"/>
  <c r="F98" i="8"/>
  <c r="E98" i="8"/>
  <c r="G98" i="8" s="1"/>
  <c r="D98" i="8"/>
  <c r="C98" i="8"/>
  <c r="B98" i="8"/>
  <c r="F97" i="8"/>
  <c r="E97" i="8"/>
  <c r="D97" i="8"/>
  <c r="H97" i="8" s="1"/>
  <c r="C97" i="8"/>
  <c r="B97" i="8"/>
  <c r="F96" i="8"/>
  <c r="E96" i="8"/>
  <c r="D96" i="8"/>
  <c r="C96" i="8"/>
  <c r="B96" i="8"/>
  <c r="F95" i="8"/>
  <c r="E95" i="8"/>
  <c r="D95" i="8"/>
  <c r="C95" i="8"/>
  <c r="B95" i="8"/>
  <c r="F94" i="8"/>
  <c r="E94" i="8"/>
  <c r="G94" i="8" s="1"/>
  <c r="D94" i="8"/>
  <c r="C94" i="8"/>
  <c r="B94" i="8"/>
  <c r="F93" i="8"/>
  <c r="E93" i="8"/>
  <c r="D93" i="8"/>
  <c r="H93" i="8" s="1"/>
  <c r="C93" i="8"/>
  <c r="B93" i="8"/>
  <c r="F92" i="8"/>
  <c r="E92" i="8"/>
  <c r="D92" i="8"/>
  <c r="C92" i="8"/>
  <c r="B92" i="8"/>
  <c r="F91" i="8"/>
  <c r="E91" i="8"/>
  <c r="D91" i="8"/>
  <c r="C91" i="8"/>
  <c r="B91" i="8"/>
  <c r="F90" i="8"/>
  <c r="E90" i="8"/>
  <c r="G90" i="8" s="1"/>
  <c r="D90" i="8"/>
  <c r="C90" i="8"/>
  <c r="B90" i="8"/>
  <c r="F89" i="8"/>
  <c r="E89" i="8"/>
  <c r="D89" i="8"/>
  <c r="H89" i="8" s="1"/>
  <c r="C89" i="8"/>
  <c r="B89" i="8"/>
  <c r="F88" i="8"/>
  <c r="E88" i="8"/>
  <c r="D88" i="8"/>
  <c r="C88" i="8"/>
  <c r="B88" i="8"/>
  <c r="F87" i="8"/>
  <c r="E87" i="8"/>
  <c r="D87" i="8"/>
  <c r="C87" i="8"/>
  <c r="B87" i="8"/>
  <c r="F86" i="8"/>
  <c r="E86" i="8"/>
  <c r="G86" i="8" s="1"/>
  <c r="D86" i="8"/>
  <c r="C86" i="8"/>
  <c r="B86" i="8"/>
  <c r="F85" i="8"/>
  <c r="E85" i="8"/>
  <c r="D85" i="8"/>
  <c r="H85" i="8" s="1"/>
  <c r="C85" i="8"/>
  <c r="B85" i="8"/>
  <c r="F84" i="8"/>
  <c r="E84" i="8"/>
  <c r="D84" i="8"/>
  <c r="C84" i="8"/>
  <c r="B84" i="8"/>
  <c r="F83" i="8"/>
  <c r="E83" i="8"/>
  <c r="D83" i="8"/>
  <c r="C83" i="8"/>
  <c r="B83" i="8"/>
  <c r="F82" i="8"/>
  <c r="E82" i="8"/>
  <c r="G82" i="8" s="1"/>
  <c r="D82" i="8"/>
  <c r="C82" i="8"/>
  <c r="B82" i="8"/>
  <c r="F81" i="8"/>
  <c r="E81" i="8"/>
  <c r="D81" i="8"/>
  <c r="H81" i="8" s="1"/>
  <c r="C81" i="8"/>
  <c r="B81" i="8"/>
  <c r="F80" i="8"/>
  <c r="E80" i="8"/>
  <c r="D80" i="8"/>
  <c r="C80" i="8"/>
  <c r="B80" i="8"/>
  <c r="F79" i="8"/>
  <c r="E79" i="8"/>
  <c r="D79" i="8"/>
  <c r="C79" i="8"/>
  <c r="B79" i="8"/>
  <c r="F78" i="8"/>
  <c r="E78" i="8"/>
  <c r="G78" i="8" s="1"/>
  <c r="D78" i="8"/>
  <c r="C78" i="8"/>
  <c r="B78" i="8"/>
  <c r="F77" i="8"/>
  <c r="E77" i="8"/>
  <c r="D77" i="8"/>
  <c r="H77" i="8" s="1"/>
  <c r="C77" i="8"/>
  <c r="B77" i="8"/>
  <c r="F76" i="8"/>
  <c r="E76" i="8"/>
  <c r="D76" i="8"/>
  <c r="C76" i="8"/>
  <c r="B76" i="8"/>
  <c r="F75" i="8"/>
  <c r="E75" i="8"/>
  <c r="D75" i="8"/>
  <c r="C75" i="8"/>
  <c r="B75" i="8"/>
  <c r="F74" i="8"/>
  <c r="E74" i="8"/>
  <c r="G74" i="8" s="1"/>
  <c r="D74" i="8"/>
  <c r="C74" i="8"/>
  <c r="B74" i="8"/>
  <c r="F73" i="8"/>
  <c r="E73" i="8"/>
  <c r="D73" i="8"/>
  <c r="H73" i="8" s="1"/>
  <c r="C73" i="8"/>
  <c r="B73" i="8"/>
  <c r="F72" i="8"/>
  <c r="E72" i="8"/>
  <c r="D72" i="8"/>
  <c r="C72" i="8"/>
  <c r="B72" i="8"/>
  <c r="F71" i="8"/>
  <c r="E71" i="8"/>
  <c r="D71" i="8"/>
  <c r="C71" i="8"/>
  <c r="B71" i="8"/>
  <c r="F70" i="8"/>
  <c r="E70" i="8"/>
  <c r="G70" i="8" s="1"/>
  <c r="D70" i="8"/>
  <c r="C70" i="8"/>
  <c r="B70" i="8"/>
  <c r="F69" i="8"/>
  <c r="E69" i="8"/>
  <c r="D69" i="8"/>
  <c r="H69" i="8" s="1"/>
  <c r="C69" i="8"/>
  <c r="B69" i="8"/>
  <c r="F68" i="8"/>
  <c r="E68" i="8"/>
  <c r="D68" i="8"/>
  <c r="C68" i="8"/>
  <c r="B68" i="8"/>
  <c r="F67" i="8"/>
  <c r="E67" i="8"/>
  <c r="D67" i="8"/>
  <c r="C67" i="8"/>
  <c r="B67" i="8"/>
  <c r="F66" i="8"/>
  <c r="E66" i="8"/>
  <c r="G66" i="8" s="1"/>
  <c r="D66" i="8"/>
  <c r="C66" i="8"/>
  <c r="B66" i="8"/>
  <c r="F65" i="8"/>
  <c r="E65" i="8"/>
  <c r="D65" i="8"/>
  <c r="H65" i="8" s="1"/>
  <c r="C65" i="8"/>
  <c r="B65" i="8"/>
  <c r="F64" i="8"/>
  <c r="E64" i="8"/>
  <c r="D64" i="8"/>
  <c r="C64" i="8"/>
  <c r="B64" i="8"/>
  <c r="F63" i="8"/>
  <c r="E63" i="8"/>
  <c r="D63" i="8"/>
  <c r="C63" i="8"/>
  <c r="B63" i="8"/>
  <c r="F62" i="8"/>
  <c r="E62" i="8"/>
  <c r="G62" i="8" s="1"/>
  <c r="D62" i="8"/>
  <c r="C62" i="8"/>
  <c r="B62" i="8"/>
  <c r="F61" i="8"/>
  <c r="E61" i="8"/>
  <c r="D61" i="8"/>
  <c r="H61" i="8" s="1"/>
  <c r="C61" i="8"/>
  <c r="B61" i="8"/>
  <c r="F60" i="8"/>
  <c r="E60" i="8"/>
  <c r="D60" i="8"/>
  <c r="C60" i="8"/>
  <c r="B60" i="8"/>
  <c r="F59" i="8"/>
  <c r="E59" i="8"/>
  <c r="D59" i="8"/>
  <c r="C59" i="8"/>
  <c r="B59" i="8"/>
  <c r="F58" i="8"/>
  <c r="E58" i="8"/>
  <c r="G58" i="8" s="1"/>
  <c r="D58" i="8"/>
  <c r="C58" i="8"/>
  <c r="B58" i="8"/>
  <c r="F57" i="8"/>
  <c r="E57" i="8"/>
  <c r="D57" i="8"/>
  <c r="H57" i="8" s="1"/>
  <c r="C57" i="8"/>
  <c r="B57" i="8"/>
  <c r="F56" i="8"/>
  <c r="E56" i="8"/>
  <c r="D56" i="8"/>
  <c r="C56" i="8"/>
  <c r="B56" i="8"/>
  <c r="F55" i="8"/>
  <c r="E55" i="8"/>
  <c r="D55" i="8"/>
  <c r="C55" i="8"/>
  <c r="B55" i="8"/>
  <c r="F54" i="8"/>
  <c r="E54" i="8"/>
  <c r="G54" i="8" s="1"/>
  <c r="D54" i="8"/>
  <c r="C54" i="8"/>
  <c r="B54" i="8"/>
  <c r="F53" i="8"/>
  <c r="E53" i="8"/>
  <c r="D53" i="8"/>
  <c r="H53" i="8" s="1"/>
  <c r="C53" i="8"/>
  <c r="B53" i="8"/>
  <c r="F52" i="8"/>
  <c r="E52" i="8"/>
  <c r="D52" i="8"/>
  <c r="C52" i="8"/>
  <c r="B52" i="8"/>
  <c r="F51" i="8"/>
  <c r="E51" i="8"/>
  <c r="D51" i="8"/>
  <c r="C51" i="8"/>
  <c r="B51" i="8"/>
  <c r="F50" i="8"/>
  <c r="E50" i="8"/>
  <c r="G50" i="8" s="1"/>
  <c r="D50" i="8"/>
  <c r="C50" i="8"/>
  <c r="B50" i="8"/>
  <c r="F49" i="8"/>
  <c r="E49" i="8"/>
  <c r="D49" i="8"/>
  <c r="H49" i="8" s="1"/>
  <c r="C49" i="8"/>
  <c r="B49" i="8"/>
  <c r="F48" i="8"/>
  <c r="E48" i="8"/>
  <c r="D48" i="8"/>
  <c r="C48" i="8"/>
  <c r="B48" i="8"/>
  <c r="F47" i="8"/>
  <c r="E47" i="8"/>
  <c r="D47" i="8"/>
  <c r="C47" i="8"/>
  <c r="B47" i="8"/>
  <c r="F46" i="8"/>
  <c r="E46" i="8"/>
  <c r="G46" i="8" s="1"/>
  <c r="D46" i="8"/>
  <c r="C46" i="8"/>
  <c r="B46" i="8"/>
  <c r="F45" i="8"/>
  <c r="E45" i="8"/>
  <c r="G45" i="8" s="1"/>
  <c r="I45" i="8" s="1"/>
  <c r="D45" i="8"/>
  <c r="H45" i="8" s="1"/>
  <c r="C45" i="8"/>
  <c r="B45" i="8"/>
  <c r="F44" i="8"/>
  <c r="E44" i="8"/>
  <c r="D44" i="8"/>
  <c r="C44" i="8"/>
  <c r="B44" i="8"/>
  <c r="F43" i="8"/>
  <c r="E43" i="8"/>
  <c r="D43" i="8"/>
  <c r="C43" i="8"/>
  <c r="B43" i="8"/>
  <c r="F42" i="8"/>
  <c r="E42" i="8"/>
  <c r="D42" i="8"/>
  <c r="C42" i="8"/>
  <c r="B42" i="8"/>
  <c r="F41" i="8"/>
  <c r="E41" i="8"/>
  <c r="G41" i="8" s="1"/>
  <c r="D41" i="8"/>
  <c r="H41" i="8" s="1"/>
  <c r="C41" i="8"/>
  <c r="B41" i="8"/>
  <c r="F40" i="8"/>
  <c r="E40" i="8"/>
  <c r="D40" i="8"/>
  <c r="H40" i="8" s="1"/>
  <c r="C40" i="8"/>
  <c r="B40" i="8"/>
  <c r="F39" i="8"/>
  <c r="E39" i="8"/>
  <c r="D39" i="8"/>
  <c r="C39" i="8"/>
  <c r="B39" i="8"/>
  <c r="F38" i="8"/>
  <c r="E38" i="8"/>
  <c r="D38" i="8"/>
  <c r="C38" i="8"/>
  <c r="B38" i="8"/>
  <c r="F37" i="8"/>
  <c r="E37" i="8"/>
  <c r="G37" i="8" s="1"/>
  <c r="D37" i="8"/>
  <c r="H37" i="8" s="1"/>
  <c r="C37" i="8"/>
  <c r="B37" i="8"/>
  <c r="F36" i="8"/>
  <c r="E36" i="8"/>
  <c r="D36" i="8"/>
  <c r="H36" i="8" s="1"/>
  <c r="C36" i="8"/>
  <c r="B36" i="8"/>
  <c r="F35" i="8"/>
  <c r="E35" i="8"/>
  <c r="D35" i="8"/>
  <c r="C35" i="8"/>
  <c r="B35" i="8"/>
  <c r="F34" i="8"/>
  <c r="E34" i="8"/>
  <c r="D34" i="8"/>
  <c r="C34" i="8"/>
  <c r="B34" i="8"/>
  <c r="F33" i="8"/>
  <c r="E33" i="8"/>
  <c r="G33" i="8" s="1"/>
  <c r="D33" i="8"/>
  <c r="H33" i="8" s="1"/>
  <c r="C33" i="8"/>
  <c r="B33" i="8"/>
  <c r="F32" i="8"/>
  <c r="E32" i="8"/>
  <c r="D32" i="8"/>
  <c r="H32" i="8" s="1"/>
  <c r="C32" i="8"/>
  <c r="B32" i="8"/>
  <c r="F31" i="8"/>
  <c r="E31" i="8"/>
  <c r="D31" i="8"/>
  <c r="C31" i="8"/>
  <c r="B31" i="8"/>
  <c r="F30" i="8"/>
  <c r="E30" i="8"/>
  <c r="G30" i="8" s="1"/>
  <c r="D30" i="8"/>
  <c r="C30" i="8"/>
  <c r="B30" i="8"/>
  <c r="F29" i="8"/>
  <c r="E29" i="8"/>
  <c r="G29" i="8" s="1"/>
  <c r="D29" i="8"/>
  <c r="H29" i="8" s="1"/>
  <c r="C29" i="8"/>
  <c r="B29" i="8"/>
  <c r="F28" i="8"/>
  <c r="E28" i="8"/>
  <c r="G28" i="8" s="1"/>
  <c r="D28" i="8"/>
  <c r="H28" i="8" s="1"/>
  <c r="C28" i="8"/>
  <c r="B28" i="8"/>
  <c r="F27" i="8"/>
  <c r="E27" i="8"/>
  <c r="D27" i="8"/>
  <c r="C27" i="8"/>
  <c r="B27" i="8"/>
  <c r="F26" i="8"/>
  <c r="E26" i="8"/>
  <c r="G26" i="8" s="1"/>
  <c r="D26" i="8"/>
  <c r="C26" i="8"/>
  <c r="B26" i="8"/>
  <c r="F25" i="8"/>
  <c r="E25" i="8"/>
  <c r="G25" i="8" s="1"/>
  <c r="D25" i="8"/>
  <c r="H25" i="8" s="1"/>
  <c r="C25" i="8"/>
  <c r="B25" i="8"/>
  <c r="F24" i="8"/>
  <c r="E24" i="8"/>
  <c r="G24" i="8" s="1"/>
  <c r="D24" i="8"/>
  <c r="H24" i="8" s="1"/>
  <c r="C24" i="8"/>
  <c r="B24" i="8"/>
  <c r="F23" i="8"/>
  <c r="E23" i="8"/>
  <c r="D23" i="8"/>
  <c r="C23" i="8"/>
  <c r="B23" i="8"/>
  <c r="F22" i="8"/>
  <c r="E22" i="8"/>
  <c r="D22" i="8"/>
  <c r="C22" i="8"/>
  <c r="B22" i="8"/>
  <c r="F21" i="8"/>
  <c r="E21" i="8"/>
  <c r="G21" i="8" s="1"/>
  <c r="D21" i="8"/>
  <c r="H21" i="8" s="1"/>
  <c r="C21" i="8"/>
  <c r="B21" i="8"/>
  <c r="F20" i="8"/>
  <c r="E20" i="8"/>
  <c r="D20" i="8"/>
  <c r="C20" i="8"/>
  <c r="B20" i="8"/>
  <c r="F19" i="8"/>
  <c r="E19" i="8"/>
  <c r="G19" i="8" s="1"/>
  <c r="D19" i="8"/>
  <c r="C19" i="8"/>
  <c r="B19" i="8"/>
  <c r="F18" i="8"/>
  <c r="E18" i="8"/>
  <c r="G18" i="8" s="1"/>
  <c r="D18" i="8"/>
  <c r="H18" i="8" s="1"/>
  <c r="C18" i="8"/>
  <c r="B18" i="8"/>
  <c r="F17" i="8"/>
  <c r="E17" i="8"/>
  <c r="D17" i="8"/>
  <c r="C17" i="8"/>
  <c r="B17" i="8"/>
  <c r="F16" i="8"/>
  <c r="E16" i="8"/>
  <c r="D16" i="8"/>
  <c r="C16" i="8"/>
  <c r="B16" i="8"/>
  <c r="F15" i="8"/>
  <c r="E15" i="8"/>
  <c r="G15" i="8" s="1"/>
  <c r="D15" i="8"/>
  <c r="C15" i="8"/>
  <c r="B15" i="8"/>
  <c r="F14" i="8"/>
  <c r="E14" i="8"/>
  <c r="G14" i="8" s="1"/>
  <c r="D14" i="8"/>
  <c r="H14" i="8" s="1"/>
  <c r="C14" i="8"/>
  <c r="B14" i="8"/>
  <c r="F13" i="8"/>
  <c r="E13" i="8"/>
  <c r="D13" i="8"/>
  <c r="C13" i="8"/>
  <c r="B13" i="8"/>
  <c r="F12" i="8"/>
  <c r="E12" i="8"/>
  <c r="D12" i="8"/>
  <c r="C12" i="8"/>
  <c r="B12" i="8"/>
  <c r="F11" i="8"/>
  <c r="E11" i="8"/>
  <c r="G11" i="8" s="1"/>
  <c r="D11" i="8"/>
  <c r="C11" i="8"/>
  <c r="B11" i="8"/>
  <c r="F10" i="8"/>
  <c r="E10" i="8"/>
  <c r="G10" i="8" s="1"/>
  <c r="D10" i="8"/>
  <c r="H10" i="8" s="1"/>
  <c r="C10" i="8"/>
  <c r="B10" i="8"/>
  <c r="A16" i="3" s="1"/>
  <c r="F9" i="8"/>
  <c r="E9" i="8"/>
  <c r="D9" i="8"/>
  <c r="C9" i="8"/>
  <c r="B9" i="8"/>
  <c r="F8" i="8"/>
  <c r="E8" i="8"/>
  <c r="D8" i="8"/>
  <c r="C8" i="8"/>
  <c r="B8" i="8"/>
  <c r="F7" i="8"/>
  <c r="E7" i="8"/>
  <c r="D7" i="8"/>
  <c r="C7" i="8"/>
  <c r="B7" i="8"/>
  <c r="F6" i="8"/>
  <c r="E6" i="8"/>
  <c r="G6" i="8" s="1"/>
  <c r="D6" i="8"/>
  <c r="H6" i="8" s="1"/>
  <c r="C6" i="8"/>
  <c r="B6" i="8"/>
  <c r="F5" i="8"/>
  <c r="E5" i="8"/>
  <c r="D5" i="8"/>
  <c r="C5" i="8"/>
  <c r="B5" i="8"/>
  <c r="F4" i="8"/>
  <c r="E4" i="8"/>
  <c r="D4" i="8"/>
  <c r="C4" i="8"/>
  <c r="J27" i="1" s="1"/>
  <c r="B4" i="8"/>
  <c r="E103" i="7"/>
  <c r="D103" i="7"/>
  <c r="E102" i="7"/>
  <c r="D102" i="7"/>
  <c r="E101" i="7"/>
  <c r="D101" i="7"/>
  <c r="E100" i="7"/>
  <c r="D100" i="7"/>
  <c r="E99" i="7"/>
  <c r="D99" i="7"/>
  <c r="E98" i="7"/>
  <c r="D98" i="7"/>
  <c r="E97" i="7"/>
  <c r="D97" i="7"/>
  <c r="E96" i="7"/>
  <c r="D96" i="7"/>
  <c r="E95" i="7"/>
  <c r="D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F36" i="7"/>
  <c r="G36" i="7" s="1"/>
  <c r="E36" i="7"/>
  <c r="D36" i="7"/>
  <c r="E35" i="7"/>
  <c r="D35" i="7"/>
  <c r="E34" i="7"/>
  <c r="D34" i="7"/>
  <c r="E33" i="7"/>
  <c r="D33" i="7"/>
  <c r="F33" i="7" s="1"/>
  <c r="G33" i="7" s="1"/>
  <c r="E32" i="7"/>
  <c r="D32" i="7"/>
  <c r="E31" i="7"/>
  <c r="D31" i="7"/>
  <c r="E30" i="7"/>
  <c r="D30" i="7"/>
  <c r="E29" i="7"/>
  <c r="D29" i="7"/>
  <c r="F29" i="7" s="1"/>
  <c r="G29" i="7" s="1"/>
  <c r="E28" i="7"/>
  <c r="D28" i="7"/>
  <c r="E27" i="7"/>
  <c r="D27" i="7"/>
  <c r="E26" i="7"/>
  <c r="D26" i="7"/>
  <c r="E25" i="7"/>
  <c r="D25" i="7"/>
  <c r="F25" i="7" s="1"/>
  <c r="G25" i="7" s="1"/>
  <c r="E24" i="7"/>
  <c r="D24" i="7"/>
  <c r="E23" i="7"/>
  <c r="D23" i="7"/>
  <c r="E22" i="7"/>
  <c r="D22" i="7"/>
  <c r="E21" i="7"/>
  <c r="D21" i="7"/>
  <c r="F21" i="7" s="1"/>
  <c r="G21" i="7" s="1"/>
  <c r="E20" i="7"/>
  <c r="D20" i="7"/>
  <c r="E19" i="7"/>
  <c r="D19" i="7"/>
  <c r="E18" i="7"/>
  <c r="D18" i="7"/>
  <c r="E17" i="7"/>
  <c r="D17" i="7"/>
  <c r="F17" i="7" s="1"/>
  <c r="G17" i="7" s="1"/>
  <c r="E16" i="7"/>
  <c r="D16" i="7"/>
  <c r="E15" i="7"/>
  <c r="D15" i="7"/>
  <c r="E14" i="7"/>
  <c r="D14" i="7"/>
  <c r="E13" i="7"/>
  <c r="D13" i="7"/>
  <c r="F13" i="7" s="1"/>
  <c r="G13" i="7" s="1"/>
  <c r="E12" i="7"/>
  <c r="D12" i="7"/>
  <c r="E11" i="7"/>
  <c r="D11" i="7"/>
  <c r="E10" i="7"/>
  <c r="D10" i="7"/>
  <c r="E9" i="7"/>
  <c r="D9" i="7"/>
  <c r="F9" i="7" s="1"/>
  <c r="G9" i="7" s="1"/>
  <c r="E8" i="7"/>
  <c r="D8" i="7"/>
  <c r="E7" i="7"/>
  <c r="D7" i="7"/>
  <c r="E6" i="7"/>
  <c r="D6" i="7"/>
  <c r="E5" i="7"/>
  <c r="D5" i="7"/>
  <c r="F5" i="7" s="1"/>
  <c r="G5" i="7" s="1"/>
  <c r="E4" i="7"/>
  <c r="D4" i="7"/>
  <c r="E103" i="6"/>
  <c r="F103" i="6" s="1"/>
  <c r="C103" i="6"/>
  <c r="E102" i="6"/>
  <c r="F102" i="6" s="1"/>
  <c r="C102" i="6"/>
  <c r="E101" i="6"/>
  <c r="F101" i="6" s="1"/>
  <c r="C101" i="6"/>
  <c r="E100" i="6"/>
  <c r="F100" i="6" s="1"/>
  <c r="C100" i="6"/>
  <c r="E99" i="6"/>
  <c r="F99" i="6" s="1"/>
  <c r="C99" i="6"/>
  <c r="E98" i="6"/>
  <c r="F98" i="6" s="1"/>
  <c r="C98" i="6"/>
  <c r="E97" i="6"/>
  <c r="F97" i="6" s="1"/>
  <c r="C97" i="6"/>
  <c r="E96" i="6"/>
  <c r="F96" i="6" s="1"/>
  <c r="C96" i="6"/>
  <c r="E95" i="6"/>
  <c r="F95" i="6" s="1"/>
  <c r="C95" i="6"/>
  <c r="E94" i="6"/>
  <c r="F94" i="6" s="1"/>
  <c r="C94" i="6"/>
  <c r="E93" i="6"/>
  <c r="F93" i="6" s="1"/>
  <c r="C93" i="6"/>
  <c r="E92" i="6"/>
  <c r="F92" i="6" s="1"/>
  <c r="C92" i="6"/>
  <c r="E91" i="6"/>
  <c r="F91" i="6" s="1"/>
  <c r="C91" i="6"/>
  <c r="E90" i="6"/>
  <c r="F90" i="6" s="1"/>
  <c r="C90" i="6"/>
  <c r="E89" i="6"/>
  <c r="F89" i="6" s="1"/>
  <c r="C89" i="6"/>
  <c r="E88" i="6"/>
  <c r="F88" i="6" s="1"/>
  <c r="C88" i="6"/>
  <c r="E87" i="6"/>
  <c r="F87" i="6" s="1"/>
  <c r="C87" i="6"/>
  <c r="E86" i="6"/>
  <c r="F86" i="6" s="1"/>
  <c r="C86" i="6"/>
  <c r="E85" i="6"/>
  <c r="F85" i="6" s="1"/>
  <c r="C85" i="6"/>
  <c r="E84" i="6"/>
  <c r="F84" i="6" s="1"/>
  <c r="C84" i="6"/>
  <c r="E83" i="6"/>
  <c r="F83" i="6" s="1"/>
  <c r="C83" i="6"/>
  <c r="E82" i="6"/>
  <c r="F82" i="6" s="1"/>
  <c r="C82" i="6"/>
  <c r="E81" i="6"/>
  <c r="F81" i="6" s="1"/>
  <c r="C81" i="6"/>
  <c r="E80" i="6"/>
  <c r="F80" i="6" s="1"/>
  <c r="C80" i="6"/>
  <c r="E79" i="6"/>
  <c r="F79" i="6" s="1"/>
  <c r="C79" i="6"/>
  <c r="E78" i="6"/>
  <c r="F78" i="6" s="1"/>
  <c r="C78" i="6"/>
  <c r="E77" i="6"/>
  <c r="F77" i="6" s="1"/>
  <c r="C77" i="6"/>
  <c r="E76" i="6"/>
  <c r="F76" i="6" s="1"/>
  <c r="C76" i="6"/>
  <c r="E75" i="6"/>
  <c r="F75" i="6" s="1"/>
  <c r="C75" i="6"/>
  <c r="E74" i="6"/>
  <c r="F74" i="6" s="1"/>
  <c r="C74" i="6"/>
  <c r="E73" i="6"/>
  <c r="F73" i="6" s="1"/>
  <c r="C73" i="6"/>
  <c r="E72" i="6"/>
  <c r="F72" i="6" s="1"/>
  <c r="C72" i="6"/>
  <c r="E71" i="6"/>
  <c r="F71" i="6" s="1"/>
  <c r="C71" i="6"/>
  <c r="E70" i="6"/>
  <c r="F70" i="6" s="1"/>
  <c r="C70" i="6"/>
  <c r="E69" i="6"/>
  <c r="F69" i="6" s="1"/>
  <c r="C69" i="6"/>
  <c r="E68" i="6"/>
  <c r="F68" i="6" s="1"/>
  <c r="C68" i="6"/>
  <c r="E67" i="6"/>
  <c r="F67" i="6" s="1"/>
  <c r="C67" i="6"/>
  <c r="E66" i="6"/>
  <c r="F66" i="6" s="1"/>
  <c r="C66" i="6"/>
  <c r="E65" i="6"/>
  <c r="F65" i="6" s="1"/>
  <c r="C65" i="6"/>
  <c r="E64" i="6"/>
  <c r="F64" i="6" s="1"/>
  <c r="C64" i="6"/>
  <c r="E63" i="6"/>
  <c r="F63" i="6" s="1"/>
  <c r="C63" i="6"/>
  <c r="E62" i="6"/>
  <c r="F62" i="6" s="1"/>
  <c r="C62" i="6"/>
  <c r="E61" i="6"/>
  <c r="F61" i="6" s="1"/>
  <c r="C61" i="6"/>
  <c r="E60" i="6"/>
  <c r="F60" i="6" s="1"/>
  <c r="C60" i="6"/>
  <c r="E59" i="6"/>
  <c r="F59" i="6" s="1"/>
  <c r="C59" i="6"/>
  <c r="E58" i="6"/>
  <c r="F58" i="6" s="1"/>
  <c r="C58" i="6"/>
  <c r="E57" i="6"/>
  <c r="F57" i="6" s="1"/>
  <c r="C57" i="6"/>
  <c r="E56" i="6"/>
  <c r="F56" i="6" s="1"/>
  <c r="C56" i="6"/>
  <c r="E55" i="6"/>
  <c r="F55" i="6" s="1"/>
  <c r="C55" i="6"/>
  <c r="E54" i="6"/>
  <c r="F54" i="6" s="1"/>
  <c r="C54" i="6"/>
  <c r="E53" i="6"/>
  <c r="F53" i="6" s="1"/>
  <c r="C53" i="6"/>
  <c r="E52" i="6"/>
  <c r="F52" i="6" s="1"/>
  <c r="C52" i="6"/>
  <c r="E51" i="6"/>
  <c r="F51" i="6" s="1"/>
  <c r="C51" i="6"/>
  <c r="E50" i="6"/>
  <c r="F50" i="6" s="1"/>
  <c r="C50" i="6"/>
  <c r="E49" i="6"/>
  <c r="F49" i="6" s="1"/>
  <c r="C49" i="6"/>
  <c r="E48" i="6"/>
  <c r="F48" i="6" s="1"/>
  <c r="C48" i="6"/>
  <c r="E47" i="6"/>
  <c r="F47" i="6" s="1"/>
  <c r="C47" i="6"/>
  <c r="E46" i="6"/>
  <c r="F46" i="6" s="1"/>
  <c r="C46" i="6"/>
  <c r="E45" i="6"/>
  <c r="F45" i="6" s="1"/>
  <c r="C45" i="6"/>
  <c r="E44" i="6"/>
  <c r="F44" i="6" s="1"/>
  <c r="C44" i="6"/>
  <c r="E43" i="6"/>
  <c r="F43" i="6" s="1"/>
  <c r="C43" i="6"/>
  <c r="E42" i="6"/>
  <c r="F42" i="6" s="1"/>
  <c r="C42" i="6"/>
  <c r="E41" i="6"/>
  <c r="F41" i="6" s="1"/>
  <c r="C41" i="6"/>
  <c r="E40" i="6"/>
  <c r="F40" i="6" s="1"/>
  <c r="C40" i="6"/>
  <c r="E39" i="6"/>
  <c r="F39" i="6" s="1"/>
  <c r="C39" i="6"/>
  <c r="E38" i="6"/>
  <c r="F38" i="6" s="1"/>
  <c r="C38" i="6"/>
  <c r="E37" i="6"/>
  <c r="F37" i="6" s="1"/>
  <c r="C37" i="6"/>
  <c r="E36" i="6"/>
  <c r="F36" i="6" s="1"/>
  <c r="C36" i="6"/>
  <c r="E35" i="6"/>
  <c r="F35" i="6" s="1"/>
  <c r="C35" i="6"/>
  <c r="E34" i="6"/>
  <c r="F34" i="6" s="1"/>
  <c r="C34" i="6"/>
  <c r="E33" i="6"/>
  <c r="F33" i="6" s="1"/>
  <c r="C33" i="6"/>
  <c r="E32" i="6"/>
  <c r="F32" i="6" s="1"/>
  <c r="C32" i="6"/>
  <c r="E31" i="6"/>
  <c r="F31" i="6" s="1"/>
  <c r="C31" i="6"/>
  <c r="E30" i="6"/>
  <c r="F30" i="6" s="1"/>
  <c r="C30" i="6"/>
  <c r="E29" i="6"/>
  <c r="F29" i="6" s="1"/>
  <c r="C29" i="6"/>
  <c r="E28" i="6"/>
  <c r="F28" i="6" s="1"/>
  <c r="C28" i="6"/>
  <c r="E27" i="6"/>
  <c r="F27" i="6" s="1"/>
  <c r="C27" i="6"/>
  <c r="E26" i="6"/>
  <c r="F26" i="6" s="1"/>
  <c r="C26" i="6"/>
  <c r="E25" i="6"/>
  <c r="F25" i="6" s="1"/>
  <c r="C25" i="6"/>
  <c r="E24" i="6"/>
  <c r="F24" i="6" s="1"/>
  <c r="C24" i="6"/>
  <c r="E23" i="6"/>
  <c r="F23" i="6" s="1"/>
  <c r="C23" i="6"/>
  <c r="E22" i="6"/>
  <c r="F22" i="6" s="1"/>
  <c r="C22" i="6"/>
  <c r="E21" i="6"/>
  <c r="F21" i="6" s="1"/>
  <c r="C21" i="6"/>
  <c r="E20" i="6"/>
  <c r="F20" i="6" s="1"/>
  <c r="C20" i="6"/>
  <c r="E19" i="6"/>
  <c r="F19" i="6" s="1"/>
  <c r="C19" i="6"/>
  <c r="E18" i="6"/>
  <c r="F18" i="6" s="1"/>
  <c r="C18" i="6"/>
  <c r="E17" i="6"/>
  <c r="F17" i="6" s="1"/>
  <c r="C17" i="6"/>
  <c r="E16" i="6"/>
  <c r="F16" i="6" s="1"/>
  <c r="C16" i="6"/>
  <c r="E15" i="6"/>
  <c r="F15" i="6" s="1"/>
  <c r="C15" i="6"/>
  <c r="E14" i="6"/>
  <c r="F14" i="6" s="1"/>
  <c r="C14" i="6"/>
  <c r="E13" i="6"/>
  <c r="F13" i="6" s="1"/>
  <c r="C13" i="6"/>
  <c r="E12" i="6"/>
  <c r="F12" i="6" s="1"/>
  <c r="C12" i="6"/>
  <c r="E11" i="6"/>
  <c r="F11" i="6" s="1"/>
  <c r="C11" i="6"/>
  <c r="E10" i="6"/>
  <c r="F10" i="6" s="1"/>
  <c r="C10" i="6"/>
  <c r="E9" i="6"/>
  <c r="F9" i="6" s="1"/>
  <c r="C9" i="6"/>
  <c r="E8" i="6"/>
  <c r="F8" i="6" s="1"/>
  <c r="C8" i="6"/>
  <c r="E7" i="6"/>
  <c r="F7" i="6" s="1"/>
  <c r="C7" i="6"/>
  <c r="E6" i="6"/>
  <c r="F6" i="6" s="1"/>
  <c r="C6" i="6"/>
  <c r="E5" i="6"/>
  <c r="F5" i="6" s="1"/>
  <c r="C5" i="6"/>
  <c r="E4" i="6"/>
  <c r="F4" i="6" s="1"/>
  <c r="C4" i="6"/>
  <c r="E103" i="5"/>
  <c r="F103" i="5" s="1"/>
  <c r="C103" i="5"/>
  <c r="E102" i="5"/>
  <c r="F102" i="5" s="1"/>
  <c r="C102" i="5"/>
  <c r="E101" i="5"/>
  <c r="F101" i="5" s="1"/>
  <c r="C101" i="5"/>
  <c r="E100" i="5"/>
  <c r="F100" i="5" s="1"/>
  <c r="C100" i="5"/>
  <c r="E99" i="5"/>
  <c r="F99" i="5" s="1"/>
  <c r="C99" i="5"/>
  <c r="E98" i="5"/>
  <c r="F98" i="5" s="1"/>
  <c r="C98" i="5"/>
  <c r="E97" i="5"/>
  <c r="F97" i="5" s="1"/>
  <c r="C97" i="5"/>
  <c r="E96" i="5"/>
  <c r="F96" i="5" s="1"/>
  <c r="C96" i="5"/>
  <c r="E95" i="5"/>
  <c r="F95" i="5" s="1"/>
  <c r="C95" i="5"/>
  <c r="E94" i="5"/>
  <c r="F94" i="5" s="1"/>
  <c r="C94" i="5"/>
  <c r="E93" i="5"/>
  <c r="F93" i="5" s="1"/>
  <c r="C93" i="5"/>
  <c r="E92" i="5"/>
  <c r="F92" i="5" s="1"/>
  <c r="C92" i="5"/>
  <c r="E91" i="5"/>
  <c r="F91" i="5" s="1"/>
  <c r="C91" i="5"/>
  <c r="E90" i="5"/>
  <c r="F90" i="5" s="1"/>
  <c r="C90" i="5"/>
  <c r="E89" i="5"/>
  <c r="F89" i="5" s="1"/>
  <c r="C89" i="5"/>
  <c r="E88" i="5"/>
  <c r="F88" i="5" s="1"/>
  <c r="C88" i="5"/>
  <c r="E87" i="5"/>
  <c r="F87" i="5" s="1"/>
  <c r="C87" i="5"/>
  <c r="E86" i="5"/>
  <c r="F86" i="5" s="1"/>
  <c r="C86" i="5"/>
  <c r="E85" i="5"/>
  <c r="F85" i="5" s="1"/>
  <c r="C85" i="5"/>
  <c r="E84" i="5"/>
  <c r="F84" i="5" s="1"/>
  <c r="C84" i="5"/>
  <c r="E83" i="5"/>
  <c r="F83" i="5" s="1"/>
  <c r="C83" i="5"/>
  <c r="E82" i="5"/>
  <c r="F82" i="5" s="1"/>
  <c r="C82" i="5"/>
  <c r="E81" i="5"/>
  <c r="F81" i="5" s="1"/>
  <c r="C81" i="5"/>
  <c r="E80" i="5"/>
  <c r="F80" i="5" s="1"/>
  <c r="C80" i="5"/>
  <c r="E79" i="5"/>
  <c r="F79" i="5" s="1"/>
  <c r="C79" i="5"/>
  <c r="E78" i="5"/>
  <c r="F78" i="5" s="1"/>
  <c r="C78" i="5"/>
  <c r="E77" i="5"/>
  <c r="F77" i="5" s="1"/>
  <c r="C77" i="5"/>
  <c r="E76" i="5"/>
  <c r="F76" i="5" s="1"/>
  <c r="C76" i="5"/>
  <c r="F75" i="5"/>
  <c r="E75" i="5"/>
  <c r="C75" i="5"/>
  <c r="E74" i="5"/>
  <c r="F74" i="5" s="1"/>
  <c r="C74" i="5"/>
  <c r="E73" i="5"/>
  <c r="F73" i="5" s="1"/>
  <c r="C73" i="5"/>
  <c r="E72" i="5"/>
  <c r="F72" i="5" s="1"/>
  <c r="C72" i="5"/>
  <c r="E71" i="5"/>
  <c r="F71" i="5" s="1"/>
  <c r="C71" i="5"/>
  <c r="E70" i="5"/>
  <c r="F70" i="5" s="1"/>
  <c r="C70" i="5"/>
  <c r="E69" i="5"/>
  <c r="F69" i="5" s="1"/>
  <c r="C69" i="5"/>
  <c r="E68" i="5"/>
  <c r="F68" i="5" s="1"/>
  <c r="C68" i="5"/>
  <c r="E67" i="5"/>
  <c r="F67" i="5" s="1"/>
  <c r="C67" i="5"/>
  <c r="E66" i="5"/>
  <c r="F66" i="5" s="1"/>
  <c r="C66" i="5"/>
  <c r="E65" i="5"/>
  <c r="F65" i="5" s="1"/>
  <c r="C65" i="5"/>
  <c r="E64" i="5"/>
  <c r="F64" i="5" s="1"/>
  <c r="C64" i="5"/>
  <c r="E63" i="5"/>
  <c r="F63" i="5" s="1"/>
  <c r="C63" i="5"/>
  <c r="E62" i="5"/>
  <c r="F62" i="5" s="1"/>
  <c r="C62" i="5"/>
  <c r="E61" i="5"/>
  <c r="F61" i="5" s="1"/>
  <c r="C61" i="5"/>
  <c r="E60" i="5"/>
  <c r="F60" i="5" s="1"/>
  <c r="C60" i="5"/>
  <c r="E59" i="5"/>
  <c r="F59" i="5" s="1"/>
  <c r="C59" i="5"/>
  <c r="E58" i="5"/>
  <c r="F58" i="5" s="1"/>
  <c r="C58" i="5"/>
  <c r="E57" i="5"/>
  <c r="F57" i="5" s="1"/>
  <c r="C57" i="5"/>
  <c r="E56" i="5"/>
  <c r="F56" i="5" s="1"/>
  <c r="C56" i="5"/>
  <c r="E55" i="5"/>
  <c r="F55" i="5" s="1"/>
  <c r="C55" i="5"/>
  <c r="E54" i="5"/>
  <c r="F54" i="5" s="1"/>
  <c r="C54" i="5"/>
  <c r="E53" i="5"/>
  <c r="F53" i="5" s="1"/>
  <c r="C53" i="5"/>
  <c r="E52" i="5"/>
  <c r="F52" i="5" s="1"/>
  <c r="C52" i="5"/>
  <c r="E51" i="5"/>
  <c r="F51" i="5" s="1"/>
  <c r="C51" i="5"/>
  <c r="E50" i="5"/>
  <c r="F50" i="5" s="1"/>
  <c r="C50" i="5"/>
  <c r="E49" i="5"/>
  <c r="F49" i="5" s="1"/>
  <c r="C49" i="5"/>
  <c r="E48" i="5"/>
  <c r="F48" i="5" s="1"/>
  <c r="C48" i="5"/>
  <c r="E47" i="5"/>
  <c r="F47" i="5" s="1"/>
  <c r="C47" i="5"/>
  <c r="E46" i="5"/>
  <c r="F46" i="5" s="1"/>
  <c r="C46" i="5"/>
  <c r="E45" i="5"/>
  <c r="F45" i="5" s="1"/>
  <c r="C45" i="5"/>
  <c r="E44" i="5"/>
  <c r="F44" i="5" s="1"/>
  <c r="C44" i="5"/>
  <c r="E43" i="5"/>
  <c r="F43" i="5" s="1"/>
  <c r="C43" i="5"/>
  <c r="E42" i="5"/>
  <c r="F42" i="5" s="1"/>
  <c r="C42" i="5"/>
  <c r="E41" i="5"/>
  <c r="F41" i="5" s="1"/>
  <c r="C41" i="5"/>
  <c r="E40" i="5"/>
  <c r="F40" i="5" s="1"/>
  <c r="C40" i="5"/>
  <c r="E39" i="5"/>
  <c r="F39" i="5" s="1"/>
  <c r="C39" i="5"/>
  <c r="E38" i="5"/>
  <c r="F38" i="5" s="1"/>
  <c r="C38" i="5"/>
  <c r="E37" i="5"/>
  <c r="F37" i="5" s="1"/>
  <c r="C37" i="5"/>
  <c r="E36" i="5"/>
  <c r="F36" i="5" s="1"/>
  <c r="C36" i="5"/>
  <c r="E35" i="5"/>
  <c r="F35" i="5" s="1"/>
  <c r="C35" i="5"/>
  <c r="E34" i="5"/>
  <c r="F34" i="5" s="1"/>
  <c r="C34" i="5"/>
  <c r="E33" i="5"/>
  <c r="F33" i="5" s="1"/>
  <c r="C33" i="5"/>
  <c r="E32" i="5"/>
  <c r="F32" i="5" s="1"/>
  <c r="C32" i="5"/>
  <c r="E31" i="5"/>
  <c r="F31" i="5" s="1"/>
  <c r="C31" i="5"/>
  <c r="E30" i="5"/>
  <c r="F30" i="5" s="1"/>
  <c r="C30" i="5"/>
  <c r="E29" i="5"/>
  <c r="F29" i="5" s="1"/>
  <c r="C29" i="5"/>
  <c r="E28" i="5"/>
  <c r="F28" i="5" s="1"/>
  <c r="C28" i="5"/>
  <c r="E27" i="5"/>
  <c r="F27" i="5" s="1"/>
  <c r="C27" i="5"/>
  <c r="E26" i="5"/>
  <c r="F26" i="5" s="1"/>
  <c r="C26" i="5"/>
  <c r="E25" i="5"/>
  <c r="F25" i="5" s="1"/>
  <c r="C25" i="5"/>
  <c r="E24" i="5"/>
  <c r="F24" i="5" s="1"/>
  <c r="C24" i="5"/>
  <c r="E23" i="5"/>
  <c r="F23" i="5" s="1"/>
  <c r="C23" i="5"/>
  <c r="E22" i="5"/>
  <c r="F22" i="5" s="1"/>
  <c r="C22" i="5"/>
  <c r="E21" i="5"/>
  <c r="F21" i="5" s="1"/>
  <c r="C21" i="5"/>
  <c r="E20" i="5"/>
  <c r="F20" i="5" s="1"/>
  <c r="C20" i="5"/>
  <c r="E19" i="5"/>
  <c r="F19" i="5" s="1"/>
  <c r="C19" i="5"/>
  <c r="E18" i="5"/>
  <c r="F18" i="5" s="1"/>
  <c r="C18" i="5"/>
  <c r="E17" i="5"/>
  <c r="F17" i="5" s="1"/>
  <c r="C17" i="5"/>
  <c r="E16" i="5"/>
  <c r="F16" i="5" s="1"/>
  <c r="C16" i="5"/>
  <c r="E15" i="5"/>
  <c r="F15" i="5" s="1"/>
  <c r="C15" i="5"/>
  <c r="E14" i="5"/>
  <c r="F14" i="5" s="1"/>
  <c r="C14" i="5"/>
  <c r="E13" i="5"/>
  <c r="F13" i="5" s="1"/>
  <c r="C13" i="5"/>
  <c r="E12" i="5"/>
  <c r="F12" i="5" s="1"/>
  <c r="C12" i="5"/>
  <c r="E11" i="5"/>
  <c r="F11" i="5" s="1"/>
  <c r="C11" i="5"/>
  <c r="E10" i="5"/>
  <c r="F10" i="5" s="1"/>
  <c r="C10" i="5"/>
  <c r="E9" i="5"/>
  <c r="F9" i="5" s="1"/>
  <c r="C9" i="5"/>
  <c r="E8" i="5"/>
  <c r="F8" i="5" s="1"/>
  <c r="C8" i="5"/>
  <c r="E7" i="5"/>
  <c r="F7" i="5" s="1"/>
  <c r="C7" i="5"/>
  <c r="E6" i="5"/>
  <c r="F6" i="5" s="1"/>
  <c r="C6" i="5"/>
  <c r="E5" i="5"/>
  <c r="F5" i="5" s="1"/>
  <c r="C5" i="5"/>
  <c r="E4" i="5"/>
  <c r="F4" i="5" s="1"/>
  <c r="C4" i="5"/>
  <c r="E104" i="4"/>
  <c r="D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104" i="4" s="1"/>
  <c r="F5" i="4"/>
  <c r="F4" i="4"/>
  <c r="B16" i="3"/>
  <c r="B15" i="3"/>
  <c r="B14" i="3"/>
  <c r="B13" i="3"/>
  <c r="B12" i="3"/>
  <c r="B11" i="3"/>
  <c r="B10" i="3"/>
  <c r="A10" i="3"/>
  <c r="B9" i="3"/>
  <c r="A9" i="3"/>
  <c r="B8" i="3"/>
  <c r="A8" i="3"/>
  <c r="B7" i="3"/>
  <c r="A7" i="3"/>
  <c r="B20" i="2"/>
  <c r="J10" i="2"/>
  <c r="J11" i="2" s="1"/>
  <c r="B10" i="2"/>
  <c r="B11" i="2" s="1"/>
  <c r="J8" i="2"/>
  <c r="C27" i="1"/>
  <c r="A27" i="1"/>
  <c r="C26" i="1"/>
  <c r="A26" i="1"/>
  <c r="C25" i="1"/>
  <c r="A25" i="1"/>
  <c r="C24" i="1"/>
  <c r="A24" i="1"/>
  <c r="C23" i="1"/>
  <c r="A23" i="1"/>
  <c r="C22" i="1"/>
  <c r="A22" i="1"/>
  <c r="C21" i="1"/>
  <c r="B21" i="1"/>
  <c r="A21" i="1"/>
  <c r="C20" i="1"/>
  <c r="B20" i="1"/>
  <c r="A20" i="1"/>
  <c r="C19" i="1"/>
  <c r="B19" i="1"/>
  <c r="A19" i="1"/>
  <c r="C18" i="1"/>
  <c r="B18" i="1"/>
  <c r="A18" i="1"/>
  <c r="A11" i="1"/>
  <c r="F37" i="7" l="1"/>
  <c r="G37" i="7" s="1"/>
  <c r="F41" i="7"/>
  <c r="G41" i="7" s="1"/>
  <c r="F45" i="7"/>
  <c r="G45" i="7" s="1"/>
  <c r="F47" i="7"/>
  <c r="G47" i="7" s="1"/>
  <c r="F49" i="7"/>
  <c r="G49" i="7" s="1"/>
  <c r="F4" i="7"/>
  <c r="G4" i="7" s="1"/>
  <c r="F6" i="7"/>
  <c r="G6" i="7" s="1"/>
  <c r="F8" i="7"/>
  <c r="G8" i="7" s="1"/>
  <c r="F10" i="7"/>
  <c r="G10" i="7" s="1"/>
  <c r="F12" i="7"/>
  <c r="G12" i="7" s="1"/>
  <c r="F14" i="7"/>
  <c r="G14" i="7" s="1"/>
  <c r="F16" i="7"/>
  <c r="G16" i="7" s="1"/>
  <c r="F18" i="7"/>
  <c r="G18" i="7" s="1"/>
  <c r="F20" i="7"/>
  <c r="G20" i="7" s="1"/>
  <c r="F22" i="7"/>
  <c r="G22" i="7" s="1"/>
  <c r="F24" i="7"/>
  <c r="G24" i="7" s="1"/>
  <c r="F26" i="7"/>
  <c r="G26" i="7" s="1"/>
  <c r="F28" i="7"/>
  <c r="G28" i="7" s="1"/>
  <c r="F30" i="7"/>
  <c r="G30" i="7" s="1"/>
  <c r="F32" i="7"/>
  <c r="G32" i="7" s="1"/>
  <c r="F34" i="7"/>
  <c r="G34" i="7" s="1"/>
  <c r="F11" i="7"/>
  <c r="G11" i="7" s="1"/>
  <c r="F15" i="7"/>
  <c r="G15" i="7" s="1"/>
  <c r="F38" i="7"/>
  <c r="G38" i="7" s="1"/>
  <c r="F40" i="7"/>
  <c r="G40" i="7" s="1"/>
  <c r="F42" i="7"/>
  <c r="G42" i="7" s="1"/>
  <c r="F44" i="7"/>
  <c r="G44" i="7" s="1"/>
  <c r="F46" i="7"/>
  <c r="G46" i="7" s="1"/>
  <c r="F48" i="7"/>
  <c r="G48" i="7" s="1"/>
  <c r="F50" i="7"/>
  <c r="G50" i="7" s="1"/>
  <c r="F52" i="7"/>
  <c r="G52" i="7" s="1"/>
  <c r="F54" i="7"/>
  <c r="G54" i="7" s="1"/>
  <c r="F56" i="7"/>
  <c r="G56" i="7" s="1"/>
  <c r="F58" i="7"/>
  <c r="G58" i="7" s="1"/>
  <c r="F60" i="7"/>
  <c r="G60" i="7" s="1"/>
  <c r="F62" i="7"/>
  <c r="G62" i="7" s="1"/>
  <c r="F64" i="7"/>
  <c r="G64" i="7" s="1"/>
  <c r="F66" i="7"/>
  <c r="G66" i="7" s="1"/>
  <c r="F68" i="7"/>
  <c r="G68" i="7" s="1"/>
  <c r="F70" i="7"/>
  <c r="G70" i="7" s="1"/>
  <c r="F72" i="7"/>
  <c r="G72" i="7" s="1"/>
  <c r="F74" i="7"/>
  <c r="G74" i="7" s="1"/>
  <c r="F76" i="7"/>
  <c r="G76" i="7" s="1"/>
  <c r="F78" i="7"/>
  <c r="G78" i="7" s="1"/>
  <c r="F80" i="7"/>
  <c r="G80" i="7" s="1"/>
  <c r="F82" i="7"/>
  <c r="G82" i="7" s="1"/>
  <c r="F84" i="7"/>
  <c r="G84" i="7" s="1"/>
  <c r="F86" i="7"/>
  <c r="G86" i="7" s="1"/>
  <c r="F88" i="7"/>
  <c r="G88" i="7" s="1"/>
  <c r="F90" i="7"/>
  <c r="G90" i="7" s="1"/>
  <c r="F92" i="7"/>
  <c r="G92" i="7" s="1"/>
  <c r="F94" i="7"/>
  <c r="G94" i="7" s="1"/>
  <c r="F96" i="7"/>
  <c r="G96" i="7" s="1"/>
  <c r="F98" i="7"/>
  <c r="G98" i="7" s="1"/>
  <c r="F100" i="7"/>
  <c r="G100" i="7" s="1"/>
  <c r="F102" i="7"/>
  <c r="G102" i="7" s="1"/>
  <c r="K24" i="1"/>
  <c r="H70" i="8"/>
  <c r="J70" i="8" s="1"/>
  <c r="H30" i="8"/>
  <c r="H48" i="8"/>
  <c r="J18" i="1"/>
  <c r="J19" i="1"/>
  <c r="J20" i="1"/>
  <c r="J21" i="1"/>
  <c r="J22" i="1"/>
  <c r="J23" i="1"/>
  <c r="J24" i="1"/>
  <c r="J25" i="1"/>
  <c r="J26" i="1"/>
  <c r="F27" i="7"/>
  <c r="G27" i="7" s="1"/>
  <c r="F31" i="7"/>
  <c r="G31" i="7" s="1"/>
  <c r="F43" i="7"/>
  <c r="G43" i="7" s="1"/>
  <c r="F19" i="7"/>
  <c r="G19" i="7" s="1"/>
  <c r="F35" i="7"/>
  <c r="G35" i="7" s="1"/>
  <c r="F7" i="7"/>
  <c r="G7" i="7" s="1"/>
  <c r="F23" i="7"/>
  <c r="G23" i="7" s="1"/>
  <c r="F39" i="7"/>
  <c r="G39" i="7" s="1"/>
  <c r="A13" i="3"/>
  <c r="H12" i="8"/>
  <c r="H20" i="8"/>
  <c r="H96" i="8"/>
  <c r="H58" i="8"/>
  <c r="G73" i="8"/>
  <c r="I73" i="8" s="1"/>
  <c r="G35" i="8"/>
  <c r="G63" i="8"/>
  <c r="G32" i="8"/>
  <c r="H60" i="8"/>
  <c r="G79" i="8"/>
  <c r="H86" i="8"/>
  <c r="J86" i="8" s="1"/>
  <c r="H90" i="8"/>
  <c r="G93" i="8"/>
  <c r="H15" i="8"/>
  <c r="J15" i="8" s="1"/>
  <c r="I30" i="8"/>
  <c r="G47" i="8"/>
  <c r="H54" i="8"/>
  <c r="I54" i="8" s="1"/>
  <c r="G57" i="8"/>
  <c r="I57" i="8" s="1"/>
  <c r="H76" i="8"/>
  <c r="H94" i="8"/>
  <c r="G99" i="8"/>
  <c r="C7" i="3"/>
  <c r="D18" i="1"/>
  <c r="C14" i="3"/>
  <c r="D26" i="1"/>
  <c r="C15" i="3"/>
  <c r="C16" i="3"/>
  <c r="C12" i="3"/>
  <c r="D27" i="1"/>
  <c r="D25" i="1"/>
  <c r="D23" i="1"/>
  <c r="C13" i="3"/>
  <c r="D24" i="1"/>
  <c r="D22" i="1"/>
  <c r="C11" i="3"/>
  <c r="A11" i="3"/>
  <c r="A15" i="3"/>
  <c r="G4" i="8"/>
  <c r="K18" i="1" s="1"/>
  <c r="H8" i="8"/>
  <c r="H11" i="8"/>
  <c r="H16" i="8"/>
  <c r="H19" i="8"/>
  <c r="J19" i="8" s="1"/>
  <c r="H22" i="8"/>
  <c r="G40" i="8"/>
  <c r="H46" i="8"/>
  <c r="G49" i="8"/>
  <c r="I49" i="8" s="1"/>
  <c r="H52" i="8"/>
  <c r="G55" i="8"/>
  <c r="K26" i="1" s="1"/>
  <c r="H62" i="8"/>
  <c r="G65" i="8"/>
  <c r="J65" i="8" s="1"/>
  <c r="H68" i="8"/>
  <c r="G71" i="8"/>
  <c r="H78" i="8"/>
  <c r="J78" i="8" s="1"/>
  <c r="G81" i="8"/>
  <c r="I81" i="8" s="1"/>
  <c r="H84" i="8"/>
  <c r="G87" i="8"/>
  <c r="G97" i="8"/>
  <c r="J97" i="8" s="1"/>
  <c r="H100" i="8"/>
  <c r="J100" i="8" s="1"/>
  <c r="G103" i="8"/>
  <c r="B22" i="1"/>
  <c r="B24" i="1"/>
  <c r="B26" i="1"/>
  <c r="A14" i="3"/>
  <c r="G5" i="8"/>
  <c r="H9" i="8"/>
  <c r="H17" i="8"/>
  <c r="H26" i="8"/>
  <c r="I26" i="8" s="1"/>
  <c r="G31" i="8"/>
  <c r="K22" i="1" s="1"/>
  <c r="H44" i="8"/>
  <c r="H50" i="8"/>
  <c r="J50" i="8" s="1"/>
  <c r="G53" i="8"/>
  <c r="H56" i="8"/>
  <c r="G59" i="8"/>
  <c r="K27" i="1" s="1"/>
  <c r="H66" i="8"/>
  <c r="J66" i="8" s="1"/>
  <c r="G69" i="8"/>
  <c r="H72" i="8"/>
  <c r="G75" i="8"/>
  <c r="H82" i="8"/>
  <c r="J82" i="8" s="1"/>
  <c r="G85" i="8"/>
  <c r="H88" i="8"/>
  <c r="G91" i="8"/>
  <c r="H98" i="8"/>
  <c r="J98" i="8" s="1"/>
  <c r="G101" i="8"/>
  <c r="G89" i="8"/>
  <c r="H92" i="8"/>
  <c r="G95" i="8"/>
  <c r="H102" i="8"/>
  <c r="B23" i="1"/>
  <c r="B25" i="1"/>
  <c r="B27" i="1"/>
  <c r="A12" i="3"/>
  <c r="H7" i="8"/>
  <c r="H13" i="8"/>
  <c r="G36" i="8"/>
  <c r="I36" i="8" s="1"/>
  <c r="G39" i="8"/>
  <c r="K23" i="1" s="1"/>
  <c r="G51" i="8"/>
  <c r="J54" i="8"/>
  <c r="G61" i="8"/>
  <c r="I61" i="8" s="1"/>
  <c r="H64" i="8"/>
  <c r="G67" i="8"/>
  <c r="H74" i="8"/>
  <c r="I74" i="8" s="1"/>
  <c r="G77" i="8"/>
  <c r="I77" i="8" s="1"/>
  <c r="H80" i="8"/>
  <c r="G83" i="8"/>
  <c r="J102" i="8"/>
  <c r="F104" i="5"/>
  <c r="E32" i="1" s="1"/>
  <c r="C28" i="3"/>
  <c r="J6" i="8"/>
  <c r="I6" i="8"/>
  <c r="F104" i="6"/>
  <c r="B29" i="3" s="1"/>
  <c r="J4" i="8"/>
  <c r="F51" i="7"/>
  <c r="G51" i="7" s="1"/>
  <c r="F55" i="7"/>
  <c r="G55" i="7" s="1"/>
  <c r="F59" i="7"/>
  <c r="G59" i="7" s="1"/>
  <c r="F63" i="7"/>
  <c r="G63" i="7" s="1"/>
  <c r="F67" i="7"/>
  <c r="G67" i="7" s="1"/>
  <c r="F71" i="7"/>
  <c r="G71" i="7" s="1"/>
  <c r="F75" i="7"/>
  <c r="G75" i="7" s="1"/>
  <c r="F79" i="7"/>
  <c r="G79" i="7" s="1"/>
  <c r="F83" i="7"/>
  <c r="G83" i="7" s="1"/>
  <c r="F87" i="7"/>
  <c r="G87" i="7" s="1"/>
  <c r="F91" i="7"/>
  <c r="G91" i="7" s="1"/>
  <c r="F95" i="7"/>
  <c r="G95" i="7" s="1"/>
  <c r="F99" i="7"/>
  <c r="G99" i="7" s="1"/>
  <c r="F103" i="7"/>
  <c r="G103" i="7" s="1"/>
  <c r="H5" i="8"/>
  <c r="J5" i="8" s="1"/>
  <c r="G7" i="8"/>
  <c r="G8" i="8"/>
  <c r="J11" i="8"/>
  <c r="I11" i="8"/>
  <c r="D7" i="3" s="1"/>
  <c r="J14" i="8"/>
  <c r="J10" i="8"/>
  <c r="I21" i="8"/>
  <c r="J21" i="8"/>
  <c r="F53" i="7"/>
  <c r="G53" i="7" s="1"/>
  <c r="F57" i="7"/>
  <c r="G57" i="7" s="1"/>
  <c r="F61" i="7"/>
  <c r="G61" i="7" s="1"/>
  <c r="F65" i="7"/>
  <c r="G65" i="7" s="1"/>
  <c r="F69" i="7"/>
  <c r="G69" i="7" s="1"/>
  <c r="F73" i="7"/>
  <c r="G73" i="7" s="1"/>
  <c r="F77" i="7"/>
  <c r="G77" i="7" s="1"/>
  <c r="F81" i="7"/>
  <c r="G81" i="7" s="1"/>
  <c r="F85" i="7"/>
  <c r="G85" i="7" s="1"/>
  <c r="F89" i="7"/>
  <c r="G89" i="7" s="1"/>
  <c r="F93" i="7"/>
  <c r="G93" i="7" s="1"/>
  <c r="F97" i="7"/>
  <c r="G97" i="7" s="1"/>
  <c r="F101" i="7"/>
  <c r="G101" i="7" s="1"/>
  <c r="J18" i="8"/>
  <c r="F104" i="8"/>
  <c r="H4" i="8"/>
  <c r="I10" i="8"/>
  <c r="G12" i="8"/>
  <c r="I14" i="8"/>
  <c r="G16" i="8"/>
  <c r="I18" i="8"/>
  <c r="G20" i="8"/>
  <c r="K20" i="1" s="1"/>
  <c r="G22" i="8"/>
  <c r="J24" i="8"/>
  <c r="J28" i="8"/>
  <c r="J32" i="8"/>
  <c r="I32" i="8"/>
  <c r="H34" i="8"/>
  <c r="G34" i="8"/>
  <c r="J36" i="8"/>
  <c r="H38" i="8"/>
  <c r="G38" i="8"/>
  <c r="J40" i="8"/>
  <c r="I40" i="8"/>
  <c r="H42" i="8"/>
  <c r="G42" i="8"/>
  <c r="J46" i="8"/>
  <c r="I53" i="8"/>
  <c r="J53" i="8"/>
  <c r="J62" i="8"/>
  <c r="I69" i="8"/>
  <c r="J69" i="8"/>
  <c r="I85" i="8"/>
  <c r="J85" i="8"/>
  <c r="J94" i="8"/>
  <c r="I101" i="8"/>
  <c r="J101" i="8"/>
  <c r="G9" i="8"/>
  <c r="K19" i="1" s="1"/>
  <c r="G13" i="8"/>
  <c r="G17" i="8"/>
  <c r="I19" i="8"/>
  <c r="I25" i="8"/>
  <c r="J25" i="8"/>
  <c r="J26" i="8"/>
  <c r="I29" i="8"/>
  <c r="J29" i="8"/>
  <c r="J30" i="8"/>
  <c r="J57" i="8"/>
  <c r="I89" i="8"/>
  <c r="J89" i="8"/>
  <c r="G23" i="8"/>
  <c r="H23" i="8"/>
  <c r="G27" i="8"/>
  <c r="K21" i="1" s="1"/>
  <c r="H27" i="8"/>
  <c r="G43" i="8"/>
  <c r="J61" i="8"/>
  <c r="I93" i="8"/>
  <c r="J93" i="8"/>
  <c r="I24" i="8"/>
  <c r="I28" i="8"/>
  <c r="I33" i="8"/>
  <c r="J33" i="8"/>
  <c r="I37" i="8"/>
  <c r="J37" i="8"/>
  <c r="I41" i="8"/>
  <c r="J41" i="8"/>
  <c r="J49" i="8"/>
  <c r="J58" i="8"/>
  <c r="J74" i="8"/>
  <c r="J90" i="8"/>
  <c r="I97" i="8"/>
  <c r="H31" i="8"/>
  <c r="I31" i="8" s="1"/>
  <c r="H35" i="8"/>
  <c r="H39" i="8"/>
  <c r="J39" i="8" s="1"/>
  <c r="H43" i="8"/>
  <c r="G44" i="8"/>
  <c r="J45" i="8"/>
  <c r="I46" i="8"/>
  <c r="H47" i="8"/>
  <c r="I47" i="8" s="1"/>
  <c r="G48" i="8"/>
  <c r="H51" i="8"/>
  <c r="I51" i="8" s="1"/>
  <c r="G52" i="8"/>
  <c r="H55" i="8"/>
  <c r="J55" i="8" s="1"/>
  <c r="G56" i="8"/>
  <c r="I58" i="8"/>
  <c r="H59" i="8"/>
  <c r="G60" i="8"/>
  <c r="I62" i="8"/>
  <c r="H63" i="8"/>
  <c r="I63" i="8" s="1"/>
  <c r="G64" i="8"/>
  <c r="H67" i="8"/>
  <c r="I67" i="8" s="1"/>
  <c r="G68" i="8"/>
  <c r="H71" i="8"/>
  <c r="J71" i="8" s="1"/>
  <c r="G72" i="8"/>
  <c r="H75" i="8"/>
  <c r="G76" i="8"/>
  <c r="I78" i="8"/>
  <c r="H79" i="8"/>
  <c r="G80" i="8"/>
  <c r="H83" i="8"/>
  <c r="I83" i="8" s="1"/>
  <c r="G84" i="8"/>
  <c r="I86" i="8"/>
  <c r="H87" i="8"/>
  <c r="I87" i="8" s="1"/>
  <c r="G88" i="8"/>
  <c r="I90" i="8"/>
  <c r="H91" i="8"/>
  <c r="G92" i="8"/>
  <c r="I94" i="8"/>
  <c r="H95" i="8"/>
  <c r="G96" i="8"/>
  <c r="H99" i="8"/>
  <c r="I99" i="8" s="1"/>
  <c r="I102" i="8"/>
  <c r="H103" i="8"/>
  <c r="J103" i="8" s="1"/>
  <c r="E6" i="1" l="1"/>
  <c r="I91" i="8"/>
  <c r="J75" i="8"/>
  <c r="I70" i="8"/>
  <c r="J59" i="8"/>
  <c r="J81" i="8"/>
  <c r="I65" i="8"/>
  <c r="I100" i="8"/>
  <c r="J77" i="8"/>
  <c r="J73" i="8"/>
  <c r="I15" i="8"/>
  <c r="C27" i="3"/>
  <c r="K25" i="1"/>
  <c r="I98" i="8"/>
  <c r="I82" i="8"/>
  <c r="I66" i="8"/>
  <c r="I50" i="8"/>
  <c r="L25" i="1" s="1"/>
  <c r="I35" i="8"/>
  <c r="I95" i="8"/>
  <c r="I79" i="8"/>
  <c r="I4" i="8"/>
  <c r="C29" i="3"/>
  <c r="M11" i="1"/>
  <c r="J99" i="8"/>
  <c r="J51" i="8"/>
  <c r="I103" i="8"/>
  <c r="J67" i="8"/>
  <c r="B24" i="3"/>
  <c r="J83" i="8"/>
  <c r="J79" i="8"/>
  <c r="J95" i="8"/>
  <c r="J91" i="8"/>
  <c r="I75" i="8"/>
  <c r="J47" i="8"/>
  <c r="J63" i="8"/>
  <c r="J92" i="8"/>
  <c r="I92" i="8"/>
  <c r="J76" i="8"/>
  <c r="I76" i="8"/>
  <c r="J60" i="8"/>
  <c r="I60" i="8"/>
  <c r="J87" i="8"/>
  <c r="I71" i="8"/>
  <c r="A6" i="1"/>
  <c r="J96" i="8"/>
  <c r="I96" i="8"/>
  <c r="J80" i="8"/>
  <c r="I80" i="8"/>
  <c r="J64" i="8"/>
  <c r="I64" i="8"/>
  <c r="J48" i="8"/>
  <c r="I48" i="8"/>
  <c r="J44" i="8"/>
  <c r="I44" i="8"/>
  <c r="I55" i="8"/>
  <c r="L26" i="1" s="1"/>
  <c r="J31" i="8"/>
  <c r="I23" i="8"/>
  <c r="J23" i="8"/>
  <c r="I59" i="8"/>
  <c r="L27" i="1" s="1"/>
  <c r="J20" i="8"/>
  <c r="I20" i="8"/>
  <c r="L20" i="1" s="1"/>
  <c r="J12" i="8"/>
  <c r="I12" i="8"/>
  <c r="I7" i="8"/>
  <c r="J7" i="8"/>
  <c r="A32" i="1"/>
  <c r="B28" i="3"/>
  <c r="I17" i="8"/>
  <c r="J17" i="8"/>
  <c r="B27" i="3"/>
  <c r="J35" i="8"/>
  <c r="I22" i="8"/>
  <c r="J22" i="8"/>
  <c r="I8" i="8"/>
  <c r="J8" i="8"/>
  <c r="J84" i="8"/>
  <c r="I84" i="8"/>
  <c r="J68" i="8"/>
  <c r="I68" i="8"/>
  <c r="J52" i="8"/>
  <c r="I52" i="8"/>
  <c r="J43" i="8"/>
  <c r="I43" i="8"/>
  <c r="I13" i="8"/>
  <c r="J13" i="8"/>
  <c r="I42" i="8"/>
  <c r="J42" i="8"/>
  <c r="I38" i="8"/>
  <c r="L22" i="1" s="1"/>
  <c r="J38" i="8"/>
  <c r="I34" i="8"/>
  <c r="J34" i="8"/>
  <c r="D16" i="3"/>
  <c r="D15" i="3"/>
  <c r="D14" i="3"/>
  <c r="D13" i="3"/>
  <c r="D12" i="3"/>
  <c r="D11" i="3"/>
  <c r="J88" i="8"/>
  <c r="I88" i="8"/>
  <c r="J72" i="8"/>
  <c r="I72" i="8"/>
  <c r="J56" i="8"/>
  <c r="I56" i="8"/>
  <c r="I39" i="8"/>
  <c r="L23" i="1" s="1"/>
  <c r="I27" i="8"/>
  <c r="L21" i="1" s="1"/>
  <c r="J27" i="8"/>
  <c r="B22" i="3"/>
  <c r="J9" i="8"/>
  <c r="I9" i="8"/>
  <c r="C10" i="3"/>
  <c r="C9" i="3"/>
  <c r="C8" i="3"/>
  <c r="D21" i="1"/>
  <c r="D20" i="1"/>
  <c r="D19" i="1"/>
  <c r="J16" i="8"/>
  <c r="I16" i="8"/>
  <c r="H104" i="8"/>
  <c r="I5" i="8"/>
  <c r="G104" i="8"/>
  <c r="L24" i="1" l="1"/>
  <c r="L19" i="1"/>
  <c r="M32" i="1"/>
  <c r="L18" i="1"/>
  <c r="J104" i="8"/>
  <c r="B23" i="3"/>
  <c r="E11" i="1"/>
  <c r="I32" i="1"/>
  <c r="D10" i="3"/>
  <c r="D9" i="3"/>
  <c r="D8" i="3"/>
  <c r="B21" i="3"/>
  <c r="B20" i="3"/>
  <c r="I6" i="1"/>
  <c r="I104" i="8"/>
</calcChain>
</file>

<file path=xl/sharedStrings.xml><?xml version="1.0" encoding="utf-8"?>
<sst xmlns="http://schemas.openxmlformats.org/spreadsheetml/2006/main" count="1028" uniqueCount="291">
  <si>
    <t>TOTAL VENTAS ($)</t>
  </si>
  <si>
    <t>TOTAL COMPRAS ($)</t>
  </si>
  <si>
    <t>GANANCIA NETA ($)</t>
  </si>
  <si>
    <t>UNIDADES VENDIDAS</t>
  </si>
  <si>
    <t>PRODUCTOS EN CATÁLOGO</t>
  </si>
  <si>
    <t>MARGEN PROMEDIO</t>
  </si>
  <si>
    <t>PRODUCTO MÁS VENDIDO</t>
  </si>
  <si>
    <t>ITEMS EN STOCK CRÍTICO</t>
  </si>
  <si>
    <t>RESUMEN POR CATEGORÍA</t>
  </si>
  <si>
    <t>ID</t>
  </si>
  <si>
    <t>Producto</t>
  </si>
  <si>
    <t>Uds. Vendidas</t>
  </si>
  <si>
    <t>Ingresos ($)</t>
  </si>
  <si>
    <t>Categoría</t>
  </si>
  <si>
    <t>Prod.</t>
  </si>
  <si>
    <t>Ganancia ($)</t>
  </si>
  <si>
    <t>Computadoras</t>
  </si>
  <si>
    <t>Accesorios</t>
  </si>
  <si>
    <t>Monitores</t>
  </si>
  <si>
    <t>Periféricos</t>
  </si>
  <si>
    <t>Almacenamiento</t>
  </si>
  <si>
    <t>Audio</t>
  </si>
  <si>
    <t>Redes</t>
  </si>
  <si>
    <t>Cables</t>
  </si>
  <si>
    <t>Tablets</t>
  </si>
  <si>
    <t>Impresoras</t>
  </si>
  <si>
    <t>Estado</t>
  </si>
  <si>
    <t>Total Ventas ($)</t>
  </si>
  <si>
    <t>Total Compras ($)</t>
  </si>
  <si>
    <t>Ganancia Bruta ($)</t>
  </si>
  <si>
    <t>Margen Neto (%)</t>
  </si>
  <si>
    <t>FORMULARIO DE INGRESO DE DATOS</t>
  </si>
  <si>
    <t>NUEVA VENTA</t>
  </si>
  <si>
    <t>NUEVA COMPRA</t>
  </si>
  <si>
    <t>Fecha:</t>
  </si>
  <si>
    <t>ID Producto:</t>
  </si>
  <si>
    <t>Nombre (auto):</t>
  </si>
  <si>
    <t>Cantidad:</t>
  </si>
  <si>
    <t>Precio Venta (auto):</t>
  </si>
  <si>
    <t>Costo Unit. (auto):</t>
  </si>
  <si>
    <t>TOTAL VENTA:</t>
  </si>
  <si>
    <t>TOTAL COMPRA:</t>
  </si>
  <si>
    <t>AGREGAR NUEVO PRODUCTO AL CATALOGO</t>
  </si>
  <si>
    <t>Nombre:</t>
  </si>
  <si>
    <t>Categoría:</t>
  </si>
  <si>
    <t>Costo Unitario ($):</t>
  </si>
  <si>
    <t>Precio de Venta ($):</t>
  </si>
  <si>
    <t>Margen calc.:</t>
  </si>
  <si>
    <t>DATOS PARA GRÁFICOS</t>
  </si>
  <si>
    <t>Componentes</t>
  </si>
  <si>
    <t>Mes</t>
  </si>
  <si>
    <t>Ventas ($)</t>
  </si>
  <si>
    <t>Compras ($)</t>
  </si>
  <si>
    <t>Enero</t>
  </si>
  <si>
    <t>Febrero</t>
  </si>
  <si>
    <t>Marzo</t>
  </si>
  <si>
    <t>CATÁLOGO DE PRODUCTOS</t>
  </si>
  <si>
    <t>ID Producto</t>
  </si>
  <si>
    <t>Nombre del Producto</t>
  </si>
  <si>
    <t>Costo Unitario ($)</t>
  </si>
  <si>
    <t>Precio de Venta ($)</t>
  </si>
  <si>
    <t>Margen (%)</t>
  </si>
  <si>
    <t>P001</t>
  </si>
  <si>
    <t>Laptop X1</t>
  </si>
  <si>
    <t>P002</t>
  </si>
  <si>
    <t>Laptop AirLite</t>
  </si>
  <si>
    <t>P003</t>
  </si>
  <si>
    <t>Laptop ProMax</t>
  </si>
  <si>
    <t>P004</t>
  </si>
  <si>
    <t>Mini Laptop Go</t>
  </si>
  <si>
    <t>P005</t>
  </si>
  <si>
    <t>Laptop Studio</t>
  </si>
  <si>
    <t>P006</t>
  </si>
  <si>
    <t>Mouse Gamer RGB</t>
  </si>
  <si>
    <t>P007</t>
  </si>
  <si>
    <t>Mouse Wireless Pro</t>
  </si>
  <si>
    <t>P008</t>
  </si>
  <si>
    <t>Mouse Office Silent</t>
  </si>
  <si>
    <t>P009</t>
  </si>
  <si>
    <t>Mouse UltraLight</t>
  </si>
  <si>
    <t>P010</t>
  </si>
  <si>
    <t>Mouse Precision</t>
  </si>
  <si>
    <t>P011</t>
  </si>
  <si>
    <t>Teclado Mecánico Red</t>
  </si>
  <si>
    <t>P012</t>
  </si>
  <si>
    <t>Teclado Mecánico Blue</t>
  </si>
  <si>
    <t>P013</t>
  </si>
  <si>
    <t>Teclado Compacto</t>
  </si>
  <si>
    <t>P014</t>
  </si>
  <si>
    <t>Teclado Wireless Slim</t>
  </si>
  <si>
    <t>P015</t>
  </si>
  <si>
    <t>Teclado Office Basic</t>
  </si>
  <si>
    <t>P016</t>
  </si>
  <si>
    <t>Monitor 24HD</t>
  </si>
  <si>
    <t>P017</t>
  </si>
  <si>
    <t>Monitor 27HD</t>
  </si>
  <si>
    <t>P018</t>
  </si>
  <si>
    <t>Monitor 24 Gaming</t>
  </si>
  <si>
    <t>P019</t>
  </si>
  <si>
    <t>Monitor 32 Curvo</t>
  </si>
  <si>
    <t>P020</t>
  </si>
  <si>
    <t>Monitor UltraWide</t>
  </si>
  <si>
    <t>P021</t>
  </si>
  <si>
    <t>Webcam HD</t>
  </si>
  <si>
    <t>P022</t>
  </si>
  <si>
    <t>Webcam FullHD</t>
  </si>
  <si>
    <t>P023</t>
  </si>
  <si>
    <t>Webcam Pro Stream</t>
  </si>
  <si>
    <t>P024</t>
  </si>
  <si>
    <t>Webcam Compact</t>
  </si>
  <si>
    <t>P025</t>
  </si>
  <si>
    <t>Webcam UltraWide</t>
  </si>
  <si>
    <t>P026</t>
  </si>
  <si>
    <t>SSD 256GB</t>
  </si>
  <si>
    <t>P027</t>
  </si>
  <si>
    <t>SSD 512GB</t>
  </si>
  <si>
    <t>P028</t>
  </si>
  <si>
    <t>SSD 1TB</t>
  </si>
  <si>
    <t>P029</t>
  </si>
  <si>
    <t>SSD 2TB</t>
  </si>
  <si>
    <t>P030</t>
  </si>
  <si>
    <t>SSD Portable 1TB</t>
  </si>
  <si>
    <t>P031</t>
  </si>
  <si>
    <t>Disco HDD 1TB</t>
  </si>
  <si>
    <t>P032</t>
  </si>
  <si>
    <t>Disco HDD 2TB</t>
  </si>
  <si>
    <t>P033</t>
  </si>
  <si>
    <t>Disco HDD 4TB</t>
  </si>
  <si>
    <t>P034</t>
  </si>
  <si>
    <t>Disco Externo 2TB</t>
  </si>
  <si>
    <t>P035</t>
  </si>
  <si>
    <t>Disco Externo 5TB</t>
  </si>
  <si>
    <t>P036</t>
  </si>
  <si>
    <t>Auriculares BT Lite</t>
  </si>
  <si>
    <t>P037</t>
  </si>
  <si>
    <t>Auriculares BT Pro</t>
  </si>
  <si>
    <t>P038</t>
  </si>
  <si>
    <t>Headset Gamer RGB</t>
  </si>
  <si>
    <t>P039</t>
  </si>
  <si>
    <t>Headset Studio</t>
  </si>
  <si>
    <t>P040</t>
  </si>
  <si>
    <t>Earbuds Wireless</t>
  </si>
  <si>
    <t>P041</t>
  </si>
  <si>
    <t>Router WiFi 5</t>
  </si>
  <si>
    <t>P042</t>
  </si>
  <si>
    <t>Router WiFi 6</t>
  </si>
  <si>
    <t>P043</t>
  </si>
  <si>
    <t>Router Mesh Node</t>
  </si>
  <si>
    <t>P044</t>
  </si>
  <si>
    <t>Extensor WiFi</t>
  </si>
  <si>
    <t>P045</t>
  </si>
  <si>
    <t>Switch 8 Puertos</t>
  </si>
  <si>
    <t>P046</t>
  </si>
  <si>
    <t>Cable HDMI 2m</t>
  </si>
  <si>
    <t>P047</t>
  </si>
  <si>
    <t>Cable HDMI 5m</t>
  </si>
  <si>
    <t>P048</t>
  </si>
  <si>
    <t>Cable USB-C</t>
  </si>
  <si>
    <t>P049</t>
  </si>
  <si>
    <t>Cable Ethernet Cat6</t>
  </si>
  <si>
    <t>P050</t>
  </si>
  <si>
    <t>Cable DisplayPort</t>
  </si>
  <si>
    <t>P051</t>
  </si>
  <si>
    <t>Tablet 8</t>
  </si>
  <si>
    <t>P052</t>
  </si>
  <si>
    <t>Tablet 10</t>
  </si>
  <si>
    <t>P053</t>
  </si>
  <si>
    <t>Tablet Pro</t>
  </si>
  <si>
    <t>P054</t>
  </si>
  <si>
    <t>Tablet Mini</t>
  </si>
  <si>
    <t>P055</t>
  </si>
  <si>
    <t>Tablet Studio</t>
  </si>
  <si>
    <t>P056</t>
  </si>
  <si>
    <t>Impresora InkJet</t>
  </si>
  <si>
    <t>P057</t>
  </si>
  <si>
    <t>Impresora Laser</t>
  </si>
  <si>
    <t>P058</t>
  </si>
  <si>
    <t>Impresora Multifunción</t>
  </si>
  <si>
    <t>P059</t>
  </si>
  <si>
    <t>Impresora Compacta</t>
  </si>
  <si>
    <t>P060</t>
  </si>
  <si>
    <t>Impresora WiFi</t>
  </si>
  <si>
    <t>P061</t>
  </si>
  <si>
    <t>Silla Gamer</t>
  </si>
  <si>
    <t>Mobiliario</t>
  </si>
  <si>
    <t>P062</t>
  </si>
  <si>
    <t>Silla Oficina Pro</t>
  </si>
  <si>
    <t>P063</t>
  </si>
  <si>
    <t>Silla Ergonómica</t>
  </si>
  <si>
    <t>P064</t>
  </si>
  <si>
    <t>Escritorio Compacto</t>
  </si>
  <si>
    <t>P065</t>
  </si>
  <si>
    <t>Escritorio Gamer</t>
  </si>
  <si>
    <t>P066</t>
  </si>
  <si>
    <t>Base Laptop</t>
  </si>
  <si>
    <t>P067</t>
  </si>
  <si>
    <t>Cooling Pad RGB</t>
  </si>
  <si>
    <t>P068</t>
  </si>
  <si>
    <t>Hub USB</t>
  </si>
  <si>
    <t>P069</t>
  </si>
  <si>
    <t>Hub USB-C</t>
  </si>
  <si>
    <t>P070</t>
  </si>
  <si>
    <t>Adaptador HDMI</t>
  </si>
  <si>
    <t>P071</t>
  </si>
  <si>
    <t>Power Bank 10000</t>
  </si>
  <si>
    <t>Energía</t>
  </si>
  <si>
    <t>P072</t>
  </si>
  <si>
    <t>Power Bank 20000</t>
  </si>
  <si>
    <t>P073</t>
  </si>
  <si>
    <t>Cargador USB-C</t>
  </si>
  <si>
    <t>P074</t>
  </si>
  <si>
    <t>Cargador Laptop</t>
  </si>
  <si>
    <t>P075</t>
  </si>
  <si>
    <t>Regleta Protección</t>
  </si>
  <si>
    <t>P076</t>
  </si>
  <si>
    <t>Cámara Seguridad</t>
  </si>
  <si>
    <t>Seguridad</t>
  </si>
  <si>
    <t>P077</t>
  </si>
  <si>
    <t>Cámara WiFi Pro</t>
  </si>
  <si>
    <t>P078</t>
  </si>
  <si>
    <t>Sensor Movimiento</t>
  </si>
  <si>
    <t>P079</t>
  </si>
  <si>
    <t>Timbre Inteligente</t>
  </si>
  <si>
    <t>P080</t>
  </si>
  <si>
    <t>Kit Seguridad Hogar</t>
  </si>
  <si>
    <t>P081</t>
  </si>
  <si>
    <t>Smartwatch Lite</t>
  </si>
  <si>
    <t>Wearables</t>
  </si>
  <si>
    <t>P082</t>
  </si>
  <si>
    <t>Smartwatch Pro</t>
  </si>
  <si>
    <t>P083</t>
  </si>
  <si>
    <t>Smartband Fit</t>
  </si>
  <si>
    <t>P084</t>
  </si>
  <si>
    <t>Smartwatch Sport</t>
  </si>
  <si>
    <t>P085</t>
  </si>
  <si>
    <t>Smartwatch Ultra</t>
  </si>
  <si>
    <t>P086</t>
  </si>
  <si>
    <t>Lámpara LED Desk</t>
  </si>
  <si>
    <t>Iluminación</t>
  </si>
  <si>
    <t>P087</t>
  </si>
  <si>
    <t>Lámpara RGB</t>
  </si>
  <si>
    <t>P088</t>
  </si>
  <si>
    <t>Lámpara Monitor</t>
  </si>
  <si>
    <t>P089</t>
  </si>
  <si>
    <t>Luz Ambiente RGB</t>
  </si>
  <si>
    <t>P090</t>
  </si>
  <si>
    <t>Panel LED Studio</t>
  </si>
  <si>
    <t>P091</t>
  </si>
  <si>
    <t>Micrófono USB</t>
  </si>
  <si>
    <t>Streaming</t>
  </si>
  <si>
    <t>P092</t>
  </si>
  <si>
    <t>Micrófono Pro</t>
  </si>
  <si>
    <t>P093</t>
  </si>
  <si>
    <t>Brazo Micrófono</t>
  </si>
  <si>
    <t>P094</t>
  </si>
  <si>
    <t>Kit Streaming</t>
  </si>
  <si>
    <t>P095</t>
  </si>
  <si>
    <t>Capturadora Video</t>
  </si>
  <si>
    <t>P096</t>
  </si>
  <si>
    <t>Tarjeta Gráfica Mini</t>
  </si>
  <si>
    <t>P097</t>
  </si>
  <si>
    <t>Tarjeta Gráfica Pro</t>
  </si>
  <si>
    <t>P098</t>
  </si>
  <si>
    <t>Memoria RAM 16GB</t>
  </si>
  <si>
    <t>P099</t>
  </si>
  <si>
    <t>Memoria RAM 32GB</t>
  </si>
  <si>
    <t>P100</t>
  </si>
  <si>
    <t>Procesador CoreX</t>
  </si>
  <si>
    <t>TOTAL</t>
  </si>
  <si>
    <t>REGISTRO DE COMPRAS</t>
  </si>
  <si>
    <t>Fecha</t>
  </si>
  <si>
    <t>Cantidad</t>
  </si>
  <si>
    <t>Total Compra ($)</t>
  </si>
  <si>
    <t>TOTAL COMPRAS</t>
  </si>
  <si>
    <t>REGISTRO DE VENTAS</t>
  </si>
  <si>
    <t>Precio Venta ($)</t>
  </si>
  <si>
    <t>Total Venta ($)</t>
  </si>
  <si>
    <t>TOTAL VENTAS</t>
  </si>
  <si>
    <t>CONTROL DE INVENTARIO</t>
  </si>
  <si>
    <t>Total Comprado</t>
  </si>
  <si>
    <t>Total Vendido</t>
  </si>
  <si>
    <t>Stock Actual</t>
  </si>
  <si>
    <t>ANÁLISIS DE RENTABILIDAD</t>
  </si>
  <si>
    <t>Costo Total ($)</t>
  </si>
  <si>
    <t>TOTALES</t>
  </si>
  <si>
    <t>Sistema de Gestión de Andy Silverio</t>
  </si>
  <si>
    <t>RESUMEN FINANCIERO</t>
  </si>
  <si>
    <t>DASHBOARD</t>
  </si>
  <si>
    <t>TOP 10 PRODUCTOS</t>
  </si>
  <si>
    <t>GRÁFICOS Y KPI</t>
  </si>
  <si>
    <t>Unidades Vendidas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</si>
</sst>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0.0%"/>
    <numFmt numFmtId="166" formatCode="dd/mm/yyyy"/>
    <numFmt numFmtId="167" formatCode="\$#,##0.0"/>
    <numFmt numFmtId="168" formatCode="\$#,##0"/>
  </numFmts>
  <fonts count="31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i/>
      <sz val="10"/>
      <color rgb="FFFFFFFF"/>
      <name val="Calibri"/>
      <charset val="1"/>
    </font>
    <font>
      <b/>
      <sz val="9"/>
      <color rgb="FFFFFFFF"/>
      <name val="Calibri"/>
      <charset val="1"/>
    </font>
    <font>
      <b/>
      <sz val="18"/>
      <color rgb="FF27AE60"/>
      <name val="Calibri"/>
      <charset val="1"/>
    </font>
    <font>
      <b/>
      <sz val="18"/>
      <color rgb="FF2E5FA3"/>
      <name val="Calibri"/>
      <charset val="1"/>
    </font>
    <font>
      <b/>
      <sz val="18"/>
      <color rgb="FF1ABC9C"/>
      <name val="Calibri"/>
      <charset val="1"/>
    </font>
    <font>
      <b/>
      <sz val="18"/>
      <color rgb="FFF39C12"/>
      <name val="Calibri"/>
      <charset val="1"/>
    </font>
    <font>
      <b/>
      <sz val="18"/>
      <color rgb="FF1F3864"/>
      <name val="Calibri"/>
      <charset val="1"/>
    </font>
    <font>
      <b/>
      <sz val="18"/>
      <color rgb="FFE74C3C"/>
      <name val="Calibri"/>
      <charset val="1"/>
    </font>
    <font>
      <b/>
      <sz val="12"/>
      <color rgb="FFFFFFFF"/>
      <name val="Calibri"/>
      <charset val="1"/>
    </font>
    <font>
      <b/>
      <sz val="10"/>
      <color rgb="FFFFFFFF"/>
      <name val="Calibri"/>
      <charset val="1"/>
    </font>
    <font>
      <b/>
      <sz val="11"/>
      <color rgb="FF2C3E50"/>
      <name val="Calibri"/>
      <charset val="1"/>
    </font>
    <font>
      <i/>
      <sz val="9"/>
      <color rgb="FF7F8C8D"/>
      <name val="Calibri"/>
      <charset val="1"/>
    </font>
    <font>
      <b/>
      <sz val="16"/>
      <color rgb="FF1F3864"/>
      <name val="Calibri"/>
      <charset val="1"/>
    </font>
    <font>
      <b/>
      <sz val="16"/>
      <color rgb="FFFFFFFF"/>
      <name val="Calibri"/>
      <charset val="1"/>
    </font>
    <font>
      <b/>
      <sz val="11"/>
      <color rgb="FF1F3864"/>
      <name val="Calibri"/>
      <charset val="1"/>
    </font>
    <font>
      <sz val="11"/>
      <color rgb="FF2C3E50"/>
      <name val="Calibri"/>
      <charset val="1"/>
    </font>
    <font>
      <i/>
      <sz val="11"/>
      <color rgb="FF27AE60"/>
      <name val="Calibri"/>
      <charset val="1"/>
    </font>
    <font>
      <b/>
      <sz val="12"/>
      <color rgb="FF1F3864"/>
      <name val="Calibri"/>
      <charset val="1"/>
    </font>
    <font>
      <b/>
      <sz val="13"/>
      <color rgb="FF27AE60"/>
      <name val="Calibri"/>
      <charset val="1"/>
    </font>
    <font>
      <b/>
      <sz val="13"/>
      <color rgb="FF2E5FA3"/>
      <name val="Calibri"/>
      <charset val="1"/>
    </font>
    <font>
      <b/>
      <i/>
      <sz val="11"/>
      <color rgb="FF27AE60"/>
      <name val="Calibri"/>
      <charset val="1"/>
    </font>
    <font>
      <b/>
      <sz val="11"/>
      <color rgb="FFFFFFFF"/>
      <name val="Calibri"/>
      <charset val="1"/>
    </font>
    <font>
      <b/>
      <sz val="11"/>
      <color rgb="FF2E5FA3"/>
      <name val="Calibri"/>
      <charset val="1"/>
    </font>
    <font>
      <i/>
      <sz val="11"/>
      <color rgb="FF2C3E50"/>
      <name val="Calibri"/>
      <charset val="1"/>
    </font>
    <font>
      <b/>
      <sz val="11"/>
      <color rgb="FF1F3864"/>
      <name val="Calibri"/>
      <family val="2"/>
    </font>
    <font>
      <b/>
      <sz val="12"/>
      <color rgb="FF1F3864"/>
      <name val="Calibri"/>
      <family val="2"/>
    </font>
    <font>
      <i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2E5FA3"/>
        <bgColor rgb="FF4F81BD"/>
      </patternFill>
    </fill>
    <fill>
      <patternFill patternType="solid">
        <fgColor rgb="FFF5F6FA"/>
        <bgColor rgb="FFF9F9F9"/>
      </patternFill>
    </fill>
    <fill>
      <patternFill patternType="solid">
        <fgColor rgb="FF27AE60"/>
        <bgColor rgb="FF1ABC9C"/>
      </patternFill>
    </fill>
    <fill>
      <patternFill patternType="solid">
        <fgColor rgb="FF1ABC9C"/>
        <bgColor rgb="FF27AE60"/>
      </patternFill>
    </fill>
    <fill>
      <patternFill patternType="solid">
        <fgColor rgb="FFF39C12"/>
        <bgColor rgb="FFFFCC00"/>
      </patternFill>
    </fill>
    <fill>
      <patternFill patternType="solid">
        <fgColor rgb="FFFFFFFF"/>
        <bgColor rgb="FFF9F9F9"/>
      </patternFill>
    </fill>
    <fill>
      <patternFill patternType="solid">
        <fgColor rgb="FFE74C3C"/>
        <bgColor rgb="FFC0504D"/>
      </patternFill>
    </fill>
    <fill>
      <patternFill patternType="solid">
        <fgColor rgb="FFD6E4F7"/>
        <bgColor rgb="FFD9D9D9"/>
      </patternFill>
    </fill>
    <fill>
      <patternFill patternType="solid">
        <fgColor rgb="FFEAF4EA"/>
        <bgColor rgb="FFEEF4FB"/>
      </patternFill>
    </fill>
    <fill>
      <patternFill patternType="solid">
        <fgColor rgb="FFD5F5E3"/>
        <bgColor rgb="FFEAF4EA"/>
      </patternFill>
    </fill>
    <fill>
      <patternFill patternType="solid">
        <fgColor rgb="FFEEF4FB"/>
        <bgColor rgb="FFF5F6FA"/>
      </patternFill>
    </fill>
  </fills>
  <borders count="13">
    <border>
      <left/>
      <right/>
      <top/>
      <bottom/>
      <diagonal/>
    </border>
    <border>
      <left style="medium">
        <color rgb="FF27AE60"/>
      </left>
      <right/>
      <top/>
      <bottom/>
      <diagonal/>
    </border>
    <border>
      <left style="medium">
        <color rgb="FF2E5FA3"/>
      </left>
      <right/>
      <top/>
      <bottom/>
      <diagonal/>
    </border>
    <border>
      <left style="medium">
        <color rgb="FF1ABC9C"/>
      </left>
      <right/>
      <top/>
      <bottom/>
      <diagonal/>
    </border>
    <border>
      <left style="medium">
        <color rgb="FFF39C12"/>
      </left>
      <right/>
      <top/>
      <bottom/>
      <diagonal/>
    </border>
    <border>
      <left style="medium">
        <color rgb="FF1F3864"/>
      </left>
      <right/>
      <top/>
      <bottom/>
      <diagonal/>
    </border>
    <border>
      <left style="medium">
        <color rgb="FFE74C3C"/>
      </left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/>
      <bottom/>
      <diagonal/>
    </border>
    <border>
      <left/>
      <right/>
      <top/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4" borderId="0" xfId="0" applyFill="1"/>
    <xf numFmtId="0" fontId="11" fillId="2" borderId="7" xfId="0" applyFont="1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left" vertical="center" wrapText="1"/>
    </xf>
    <xf numFmtId="3" fontId="0" fillId="8" borderId="7" xfId="0" applyNumberForma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3" fontId="0" fillId="10" borderId="7" xfId="0" applyNumberForma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left" vertical="center" wrapText="1"/>
    </xf>
    <xf numFmtId="0" fontId="16" fillId="4" borderId="0" xfId="0" applyFont="1" applyFill="1" applyAlignment="1">
      <alignment horizontal="right" vertical="center"/>
    </xf>
    <xf numFmtId="0" fontId="13" fillId="4" borderId="0" xfId="0" applyFont="1" applyFill="1"/>
    <xf numFmtId="0" fontId="19" fillId="4" borderId="0" xfId="0" applyFont="1" applyFill="1" applyAlignment="1">
      <alignment horizontal="right" vertical="center"/>
    </xf>
    <xf numFmtId="0" fontId="16" fillId="4" borderId="0" xfId="0" applyFont="1" applyFill="1"/>
    <xf numFmtId="0" fontId="23" fillId="3" borderId="7" xfId="0" applyFont="1" applyFill="1" applyBorder="1" applyAlignment="1">
      <alignment horizontal="center" vertical="center" wrapText="1"/>
    </xf>
    <xf numFmtId="0" fontId="23" fillId="3" borderId="0" xfId="0" applyFont="1" applyFill="1"/>
    <xf numFmtId="0" fontId="0" fillId="10" borderId="7" xfId="0" applyFont="1" applyFill="1" applyBorder="1"/>
    <xf numFmtId="0" fontId="24" fillId="10" borderId="7" xfId="0" applyFont="1" applyFill="1" applyBorder="1" applyAlignment="1">
      <alignment horizontal="center" vertical="center" wrapText="1"/>
    </xf>
    <xf numFmtId="0" fontId="17" fillId="10" borderId="7" xfId="0" applyFont="1" applyFill="1" applyBorder="1" applyAlignment="1">
      <alignment horizontal="left" vertical="center" wrapText="1"/>
    </xf>
    <xf numFmtId="0" fontId="25" fillId="10" borderId="7" xfId="0" applyFont="1" applyFill="1" applyBorder="1" applyAlignment="1">
      <alignment horizontal="center" vertical="center" wrapText="1"/>
    </xf>
    <xf numFmtId="165" fontId="0" fillId="10" borderId="7" xfId="0" applyNumberFormat="1" applyFill="1" applyBorder="1" applyAlignment="1">
      <alignment horizontal="center" vertical="center" wrapText="1"/>
    </xf>
    <xf numFmtId="0" fontId="24" fillId="13" borderId="7" xfId="0" applyFont="1" applyFill="1" applyBorder="1" applyAlignment="1">
      <alignment horizontal="center" vertical="center" wrapText="1"/>
    </xf>
    <xf numFmtId="0" fontId="17" fillId="13" borderId="7" xfId="0" applyFont="1" applyFill="1" applyBorder="1" applyAlignment="1">
      <alignment horizontal="left" vertical="center" wrapText="1"/>
    </xf>
    <xf numFmtId="0" fontId="25" fillId="13" borderId="7" xfId="0" applyFont="1" applyFill="1" applyBorder="1" applyAlignment="1">
      <alignment horizontal="center" vertical="center" wrapText="1"/>
    </xf>
    <xf numFmtId="165" fontId="0" fillId="13" borderId="7" xfId="0" applyNumberFormat="1" applyFill="1" applyBorder="1" applyAlignment="1">
      <alignment horizontal="center" vertical="center" wrapText="1"/>
    </xf>
    <xf numFmtId="164" fontId="23" fillId="2" borderId="7" xfId="0" applyNumberFormat="1" applyFont="1" applyFill="1" applyBorder="1" applyAlignment="1">
      <alignment horizontal="center" vertical="center" wrapText="1"/>
    </xf>
    <xf numFmtId="165" fontId="23" fillId="2" borderId="7" xfId="0" applyNumberFormat="1" applyFont="1" applyFill="1" applyBorder="1" applyAlignment="1">
      <alignment horizontal="center" vertical="center" wrapText="1"/>
    </xf>
    <xf numFmtId="166" fontId="17" fillId="10" borderId="7" xfId="0" applyNumberFormat="1" applyFont="1" applyFill="1" applyBorder="1" applyAlignment="1">
      <alignment horizontal="center" vertical="center" wrapText="1"/>
    </xf>
    <xf numFmtId="0" fontId="17" fillId="10" borderId="7" xfId="0" applyFont="1" applyFill="1" applyBorder="1" applyAlignment="1">
      <alignment horizontal="center" vertical="center" wrapText="1"/>
    </xf>
    <xf numFmtId="164" fontId="17" fillId="10" borderId="7" xfId="0" applyNumberFormat="1" applyFont="1" applyFill="1" applyBorder="1" applyAlignment="1">
      <alignment horizontal="center" vertical="center" wrapText="1"/>
    </xf>
    <xf numFmtId="166" fontId="17" fillId="13" borderId="7" xfId="0" applyNumberFormat="1" applyFont="1" applyFill="1" applyBorder="1" applyAlignment="1">
      <alignment horizontal="center" vertical="center" wrapText="1"/>
    </xf>
    <xf numFmtId="0" fontId="17" fillId="13" borderId="7" xfId="0" applyFont="1" applyFill="1" applyBorder="1" applyAlignment="1">
      <alignment horizontal="center" vertical="center" wrapText="1"/>
    </xf>
    <xf numFmtId="164" fontId="17" fillId="13" borderId="7" xfId="0" applyNumberFormat="1" applyFont="1" applyFill="1" applyBorder="1" applyAlignment="1">
      <alignment horizontal="center" vertical="center" wrapText="1"/>
    </xf>
    <xf numFmtId="164" fontId="10" fillId="2" borderId="7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5" fontId="17" fillId="10" borderId="7" xfId="0" applyNumberFormat="1" applyFont="1" applyFill="1" applyBorder="1" applyAlignment="1">
      <alignment horizontal="center" vertical="center" wrapText="1"/>
    </xf>
    <xf numFmtId="165" fontId="17" fillId="13" borderId="7" xfId="0" applyNumberFormat="1" applyFont="1" applyFill="1" applyBorder="1" applyAlignment="1">
      <alignment horizontal="center" vertical="center" wrapText="1"/>
    </xf>
    <xf numFmtId="3" fontId="23" fillId="2" borderId="7" xfId="0" applyNumberFormat="1" applyFont="1" applyFill="1" applyBorder="1" applyAlignment="1">
      <alignment horizontal="center" vertical="center" wrapText="1"/>
    </xf>
    <xf numFmtId="165" fontId="14" fillId="8" borderId="8" xfId="0" applyNumberFormat="1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5" borderId="1" xfId="0" applyFill="1" applyBorder="1"/>
    <xf numFmtId="0" fontId="0" fillId="3" borderId="2" xfId="0" applyFill="1" applyBorder="1"/>
    <xf numFmtId="0" fontId="10" fillId="3" borderId="0" xfId="0" applyFont="1" applyFill="1" applyBorder="1" applyAlignment="1">
      <alignment horizontal="center" vertical="center" wrapText="1"/>
    </xf>
    <xf numFmtId="3" fontId="8" fillId="8" borderId="5" xfId="0" applyNumberFormat="1" applyFont="1" applyFill="1" applyBorder="1" applyAlignment="1">
      <alignment horizontal="center" vertical="center" wrapText="1"/>
    </xf>
    <xf numFmtId="165" fontId="4" fillId="8" borderId="1" xfId="0" applyNumberFormat="1" applyFont="1" applyFill="1" applyBorder="1" applyAlignment="1">
      <alignment horizontal="center" vertical="center" wrapText="1"/>
    </xf>
    <xf numFmtId="49" fontId="5" fillId="8" borderId="2" xfId="0" applyNumberFormat="1" applyFont="1" applyFill="1" applyBorder="1" applyAlignment="1">
      <alignment horizontal="center" vertical="center" wrapText="1"/>
    </xf>
    <xf numFmtId="3" fontId="9" fillId="8" borderId="6" xfId="0" applyNumberFormat="1" applyFont="1" applyFill="1" applyBorder="1" applyAlignment="1">
      <alignment horizontal="center" vertical="center" wrapText="1"/>
    </xf>
    <xf numFmtId="0" fontId="0" fillId="8" borderId="5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6" xfId="0" applyFill="1" applyBorder="1"/>
    <xf numFmtId="0" fontId="0" fillId="6" borderId="3" xfId="0" applyFill="1" applyBorder="1"/>
    <xf numFmtId="0" fontId="3" fillId="2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9" borderId="0" xfId="0" applyFont="1" applyFill="1" applyBorder="1" applyAlignment="1">
      <alignment horizontal="center" vertical="center" wrapText="1"/>
    </xf>
    <xf numFmtId="3" fontId="7" fillId="8" borderId="4" xfId="0" applyNumberFormat="1" applyFont="1" applyFill="1" applyBorder="1" applyAlignment="1">
      <alignment horizontal="center" vertical="center" wrapText="1"/>
    </xf>
    <xf numFmtId="0" fontId="0" fillId="8" borderId="3" xfId="0" applyFill="1" applyBorder="1"/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left" vertical="center" wrapText="1"/>
    </xf>
    <xf numFmtId="165" fontId="22" fillId="11" borderId="8" xfId="0" applyNumberFormat="1" applyFont="1" applyFill="1" applyBorder="1"/>
    <xf numFmtId="0" fontId="23" fillId="2" borderId="0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left" vertical="center" wrapText="1"/>
    </xf>
    <xf numFmtId="164" fontId="18" fillId="11" borderId="8" xfId="0" applyNumberFormat="1" applyFont="1" applyFill="1" applyBorder="1"/>
    <xf numFmtId="164" fontId="20" fillId="12" borderId="8" xfId="0" applyNumberFormat="1" applyFont="1" applyFill="1" applyBorder="1" applyAlignment="1">
      <alignment horizontal="center" vertical="center" wrapText="1"/>
    </xf>
    <xf numFmtId="164" fontId="21" fillId="10" borderId="8" xfId="0" applyNumberFormat="1" applyFont="1" applyFill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left" vertical="center" wrapText="1"/>
    </xf>
    <xf numFmtId="0" fontId="18" fillId="11" borderId="8" xfId="0" applyFont="1" applyFill="1" applyBorder="1" applyAlignment="1">
      <alignment horizontal="left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3" fontId="7" fillId="8" borderId="0" xfId="0" applyNumberFormat="1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4" borderId="0" xfId="0" applyFill="1" applyAlignment="1"/>
    <xf numFmtId="3" fontId="9" fillId="8" borderId="0" xfId="0" applyNumberFormat="1" applyFont="1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10" fillId="3" borderId="0" xfId="0" applyFont="1" applyFill="1" applyBorder="1" applyAlignment="1">
      <alignment vertical="center" wrapText="1"/>
    </xf>
    <xf numFmtId="168" fontId="5" fillId="8" borderId="2" xfId="0" applyNumberFormat="1" applyFont="1" applyFill="1" applyBorder="1" applyAlignment="1">
      <alignment horizontal="center" vertical="center" wrapText="1"/>
    </xf>
    <xf numFmtId="168" fontId="4" fillId="8" borderId="1" xfId="0" applyNumberFormat="1" applyFont="1" applyFill="1" applyBorder="1" applyAlignment="1">
      <alignment horizontal="center" vertical="center" wrapText="1"/>
    </xf>
    <xf numFmtId="168" fontId="6" fillId="8" borderId="3" xfId="0" applyNumberFormat="1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167" fontId="10" fillId="3" borderId="0" xfId="0" applyNumberFormat="1" applyFont="1" applyFill="1" applyBorder="1" applyAlignment="1">
      <alignment horizontal="left" vertical="center" wrapText="1"/>
    </xf>
    <xf numFmtId="167" fontId="11" fillId="2" borderId="7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7" fontId="12" fillId="10" borderId="7" xfId="0" applyNumberFormat="1" applyFont="1" applyFill="1" applyBorder="1" applyAlignment="1">
      <alignment horizontal="left" vertical="center" wrapText="1"/>
    </xf>
    <xf numFmtId="167" fontId="12" fillId="8" borderId="7" xfId="0" applyNumberFormat="1" applyFont="1" applyFill="1" applyBorder="1" applyAlignment="1">
      <alignment horizontal="left" vertical="center" wrapText="1"/>
    </xf>
    <xf numFmtId="167" fontId="12" fillId="10" borderId="7" xfId="0" applyNumberFormat="1" applyFont="1" applyFill="1" applyBorder="1" applyAlignment="1">
      <alignment horizontal="left" vertical="center"/>
    </xf>
    <xf numFmtId="168" fontId="0" fillId="10" borderId="7" xfId="0" applyNumberFormat="1" applyFill="1" applyBorder="1" applyAlignment="1">
      <alignment horizontal="center" vertical="center" wrapText="1"/>
    </xf>
    <xf numFmtId="168" fontId="0" fillId="8" borderId="7" xfId="0" applyNumberFormat="1" applyFill="1" applyBorder="1" applyAlignment="1">
      <alignment horizontal="center" vertical="center" wrapText="1"/>
    </xf>
    <xf numFmtId="168" fontId="14" fillId="8" borderId="8" xfId="0" applyNumberFormat="1" applyFont="1" applyFill="1" applyBorder="1" applyAlignment="1">
      <alignment horizontal="center" vertical="center" wrapText="1"/>
    </xf>
    <xf numFmtId="168" fontId="14" fillId="8" borderId="11" xfId="0" applyNumberFormat="1" applyFont="1" applyFill="1" applyBorder="1" applyAlignment="1">
      <alignment horizontal="center" vertical="center" wrapText="1"/>
    </xf>
    <xf numFmtId="168" fontId="14" fillId="8" borderId="12" xfId="0" applyNumberFormat="1" applyFont="1" applyFill="1" applyBorder="1" applyAlignment="1">
      <alignment horizontal="center" vertical="center" wrapText="1"/>
    </xf>
    <xf numFmtId="165" fontId="14" fillId="8" borderId="11" xfId="0" applyNumberFormat="1" applyFont="1" applyFill="1" applyBorder="1" applyAlignment="1">
      <alignment horizontal="center" vertical="center" wrapText="1"/>
    </xf>
    <xf numFmtId="165" fontId="14" fillId="8" borderId="12" xfId="0" applyNumberFormat="1" applyFont="1" applyFill="1" applyBorder="1" applyAlignment="1">
      <alignment horizontal="center" vertical="center" wrapText="1"/>
    </xf>
    <xf numFmtId="0" fontId="26" fillId="4" borderId="0" xfId="0" applyFont="1" applyFill="1" applyAlignment="1">
      <alignment horizontal="right" vertical="center"/>
    </xf>
    <xf numFmtId="0" fontId="27" fillId="4" borderId="0" xfId="0" applyFont="1" applyFill="1" applyAlignment="1">
      <alignment horizontal="right" vertical="center"/>
    </xf>
    <xf numFmtId="168" fontId="0" fillId="10" borderId="7" xfId="0" applyNumberFormat="1" applyFill="1" applyBorder="1"/>
    <xf numFmtId="168" fontId="17" fillId="10" borderId="7" xfId="0" applyNumberFormat="1" applyFont="1" applyFill="1" applyBorder="1" applyAlignment="1">
      <alignment horizontal="center" vertical="center" wrapText="1"/>
    </xf>
    <xf numFmtId="168" fontId="17" fillId="13" borderId="7" xfId="0" applyNumberFormat="1" applyFont="1" applyFill="1" applyBorder="1" applyAlignment="1">
      <alignment horizontal="center" vertical="center" wrapText="1"/>
    </xf>
    <xf numFmtId="168" fontId="10" fillId="2" borderId="7" xfId="0" applyNumberFormat="1" applyFont="1" applyFill="1" applyBorder="1" applyAlignment="1">
      <alignment horizontal="center" vertical="center" wrapText="1"/>
    </xf>
    <xf numFmtId="168" fontId="23" fillId="2" borderId="7" xfId="0" applyNumberFormat="1" applyFont="1" applyFill="1" applyBorder="1" applyAlignment="1">
      <alignment horizontal="center" vertical="center" wrapText="1"/>
    </xf>
    <xf numFmtId="0" fontId="28" fillId="3" borderId="0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 wrapText="1"/>
    </xf>
    <xf numFmtId="168" fontId="0" fillId="13" borderId="7" xfId="0" applyNumberForma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0" fontId="29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39C12"/>
        </patternFill>
      </fill>
    </dxf>
    <dxf>
      <font>
        <b/>
        <color rgb="FFFFFFFF"/>
      </font>
      <fill>
        <patternFill>
          <bgColor rgb="FFE74C3C"/>
        </patternFill>
      </fill>
    </dxf>
    <dxf>
      <font>
        <b/>
        <color rgb="FFFFFFFF"/>
      </font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78787"/>
      <rgbColor rgb="FF4BACC6"/>
      <rgbColor rgb="FF8E44AD"/>
      <rgbColor rgb="FFFFF9C4"/>
      <rgbColor rgb="FFEAF4EA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D5F5E3"/>
      <rgbColor rgb="FFFFF0F0"/>
      <rgbColor rgb="FFD6E4F7"/>
      <rgbColor rgb="FFF9F9F9"/>
      <rgbColor rgb="FFCC99FF"/>
      <rgbColor rgb="FFF5F6FA"/>
      <rgbColor rgb="FF4F81BD"/>
      <rgbColor rgb="FF1ABC9C"/>
      <rgbColor rgb="FF9BBB59"/>
      <rgbColor rgb="FFFFCC00"/>
      <rgbColor rgb="FFF39C12"/>
      <rgbColor rgb="FFE74C3C"/>
      <rgbColor rgb="FF8064A2"/>
      <rgbColor rgb="FF7F8C8D"/>
      <rgbColor rgb="FF1F3864"/>
      <rgbColor rgb="FF27AE60"/>
      <rgbColor rgb="FF003300"/>
      <rgbColor rgb="FF333300"/>
      <rgbColor rgb="FFC0392B"/>
      <rgbColor rgb="FFC0504D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DO" sz="1800" b="1" strike="noStrike" spc="-1">
                <a:solidFill>
                  <a:srgbClr val="000000"/>
                </a:solidFill>
                <a:latin typeface="Calibri"/>
              </a:rPr>
              <a:t>Top 10 Productos — Unidades Vendidas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Gráficos!$B$6</c:f>
              <c:strCache>
                <c:ptCount val="1"/>
                <c:pt idx="0">
                  <c:v>Unidades Vendidas</c:v>
                </c:pt>
              </c:strCache>
            </c:strRef>
          </c:tx>
          <c:spPr>
            <a:solidFill>
              <a:srgbClr val="2E5FA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D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Gráficos!$A$7:$A$16</c:f>
              <c:strCache>
                <c:ptCount val="10"/>
                <c:pt idx="0">
                  <c:v>Mouse Office Silent</c:v>
                </c:pt>
                <c:pt idx="1">
                  <c:v>Mouse Gamer RGB</c:v>
                </c:pt>
                <c:pt idx="2">
                  <c:v>Mouse Gamer RGB</c:v>
                </c:pt>
                <c:pt idx="3">
                  <c:v>Mouse Gamer RGB</c:v>
                </c:pt>
                <c:pt idx="4">
                  <c:v>Mouse Wireless Pro</c:v>
                </c:pt>
                <c:pt idx="5">
                  <c:v>Mouse Wireless Pro</c:v>
                </c:pt>
                <c:pt idx="6">
                  <c:v>Mouse Wireless Pro</c:v>
                </c:pt>
                <c:pt idx="7">
                  <c:v>Mouse Wireless Pro</c:v>
                </c:pt>
                <c:pt idx="8">
                  <c:v>Mouse Wireless Pro</c:v>
                </c:pt>
                <c:pt idx="9">
                  <c:v>Mouse Wireless Pro</c:v>
                </c:pt>
              </c:strCache>
            </c:strRef>
          </c:cat>
          <c:val>
            <c:numRef>
              <c:f>Gráficos!$B$7:$B$16</c:f>
              <c:numCache>
                <c:formatCode>General</c:formatCode>
                <c:ptCount val="1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2-429B-8EDC-063B25019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853315"/>
        <c:axId val="92603325"/>
      </c:barChart>
      <c:catAx>
        <c:axId val="668533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DO" sz="1000" b="1" strike="noStrike" spc="-1">
                    <a:solidFill>
                      <a:srgbClr val="000000"/>
                    </a:solidFill>
                    <a:latin typeface="Calibri"/>
                  </a:rPr>
                  <a:t>Producto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DO"/>
          </a:p>
        </c:txPr>
        <c:crossAx val="92603325"/>
        <c:crosses val="autoZero"/>
        <c:auto val="1"/>
        <c:lblAlgn val="ctr"/>
        <c:lblOffset val="100"/>
        <c:noMultiLvlLbl val="0"/>
      </c:catAx>
      <c:valAx>
        <c:axId val="926033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DO" sz="1000" b="1" strike="noStrike" spc="-1">
                    <a:solidFill>
                      <a:srgbClr val="000000"/>
                    </a:solidFill>
                    <a:latin typeface="Calibri"/>
                  </a:rPr>
                  <a:t>Unidades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DO"/>
          </a:p>
        </c:txPr>
        <c:crossAx val="668533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D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DO" sz="1800" b="1" strike="noStrike" spc="-1">
                <a:solidFill>
                  <a:srgbClr val="000000"/>
                </a:solidFill>
                <a:latin typeface="Calibri"/>
              </a:rPr>
              <a:t>Top 10 Productos — Ingresos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Gráficos!$C$6</c:f>
              <c:strCache>
                <c:ptCount val="1"/>
                <c:pt idx="0">
                  <c:v>Ingresos ($)</c:v>
                </c:pt>
              </c:strCache>
            </c:strRef>
          </c:tx>
          <c:spPr>
            <a:solidFill>
              <a:srgbClr val="1ABC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D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Gráficos!$A$7:$A$16</c:f>
              <c:strCache>
                <c:ptCount val="10"/>
                <c:pt idx="0">
                  <c:v>Mouse Office Silent</c:v>
                </c:pt>
                <c:pt idx="1">
                  <c:v>Mouse Gamer RGB</c:v>
                </c:pt>
                <c:pt idx="2">
                  <c:v>Mouse Gamer RGB</c:v>
                </c:pt>
                <c:pt idx="3">
                  <c:v>Mouse Gamer RGB</c:v>
                </c:pt>
                <c:pt idx="4">
                  <c:v>Mouse Wireless Pro</c:v>
                </c:pt>
                <c:pt idx="5">
                  <c:v>Mouse Wireless Pro</c:v>
                </c:pt>
                <c:pt idx="6">
                  <c:v>Mouse Wireless Pro</c:v>
                </c:pt>
                <c:pt idx="7">
                  <c:v>Mouse Wireless Pro</c:v>
                </c:pt>
                <c:pt idx="8">
                  <c:v>Mouse Wireless Pro</c:v>
                </c:pt>
                <c:pt idx="9">
                  <c:v>Mouse Wireless Pro</c:v>
                </c:pt>
              </c:strCache>
            </c:strRef>
          </c:cat>
          <c:val>
            <c:numRef>
              <c:f>Gráficos!$C$7:$C$16</c:f>
              <c:numCache>
                <c:formatCode>\$#,##0</c:formatCode>
                <c:ptCount val="10"/>
                <c:pt idx="0">
                  <c:v>210</c:v>
                </c:pt>
                <c:pt idx="1">
                  <c:v>252</c:v>
                </c:pt>
                <c:pt idx="2">
                  <c:v>252</c:v>
                </c:pt>
                <c:pt idx="3">
                  <c:v>252</c:v>
                </c:pt>
                <c:pt idx="4">
                  <c:v>240</c:v>
                </c:pt>
                <c:pt idx="5">
                  <c:v>240</c:v>
                </c:pt>
                <c:pt idx="6">
                  <c:v>240</c:v>
                </c:pt>
                <c:pt idx="7">
                  <c:v>240</c:v>
                </c:pt>
                <c:pt idx="8">
                  <c:v>240</c:v>
                </c:pt>
                <c:pt idx="9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C-443A-BDCA-E672C97B4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72108"/>
        <c:axId val="34370232"/>
      </c:barChart>
      <c:catAx>
        <c:axId val="608721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DO"/>
          </a:p>
        </c:txPr>
        <c:crossAx val="34370232"/>
        <c:crosses val="autoZero"/>
        <c:auto val="1"/>
        <c:lblAlgn val="ctr"/>
        <c:lblOffset val="100"/>
        <c:noMultiLvlLbl val="0"/>
      </c:catAx>
      <c:valAx>
        <c:axId val="343702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DO" sz="1000" b="1" strike="noStrike" spc="-1">
                    <a:solidFill>
                      <a:srgbClr val="000000"/>
                    </a:solidFill>
                    <a:latin typeface="Calibri"/>
                  </a:rPr>
                  <a:t>Ingresos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DO"/>
          </a:p>
        </c:txPr>
        <c:crossAx val="608721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D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DO" sz="1800" b="1" strike="noStrike" spc="-1">
                <a:solidFill>
                  <a:srgbClr val="000000"/>
                </a:solidFill>
                <a:latin typeface="Calibri"/>
              </a:rPr>
              <a:t>Distribución de Ganancia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Gráficos!$B$19</c:f>
              <c:strCache>
                <c:ptCount val="1"/>
                <c:pt idx="0">
                  <c:v>Ganancia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04B-44CA-AD96-B9084591E36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04B-44CA-AD96-B9084591E36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804B-44CA-AD96-B9084591E360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804B-44CA-AD96-B9084591E360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804B-44CA-AD96-B9084591E36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D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4B-44CA-AD96-B9084591E36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D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4B-44CA-AD96-B9084591E360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D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4B-44CA-AD96-B9084591E360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D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4B-44CA-AD96-B9084591E360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DO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4B-44CA-AD96-B9084591E3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D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Gráficos!$A$20:$A$24</c:f>
              <c:strCache>
                <c:ptCount val="5"/>
                <c:pt idx="0">
                  <c:v>Computadoras</c:v>
                </c:pt>
                <c:pt idx="1">
                  <c:v>Accesorios</c:v>
                </c:pt>
                <c:pt idx="2">
                  <c:v>Monitores</c:v>
                </c:pt>
                <c:pt idx="3">
                  <c:v>Tablets</c:v>
                </c:pt>
                <c:pt idx="4">
                  <c:v>Componentes</c:v>
                </c:pt>
              </c:strCache>
            </c:strRef>
          </c:cat>
          <c:val>
            <c:numRef>
              <c:f>Gráficos!$B$20:$B$24</c:f>
              <c:numCache>
                <c:formatCode>\$#,##0</c:formatCode>
                <c:ptCount val="5"/>
                <c:pt idx="0">
                  <c:v>3550</c:v>
                </c:pt>
                <c:pt idx="1">
                  <c:v>1506</c:v>
                </c:pt>
                <c:pt idx="2">
                  <c:v>675</c:v>
                </c:pt>
                <c:pt idx="3">
                  <c:v>650</c:v>
                </c:pt>
                <c:pt idx="4">
                  <c:v>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4B-44CA-AD96-B9084591E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D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DO" sz="1800" b="1" strike="noStrike" spc="-1">
                <a:solidFill>
                  <a:srgbClr val="000000"/>
                </a:solidFill>
                <a:latin typeface="Calibri"/>
              </a:rPr>
              <a:t>Ventas vs Compras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Gráficos!$B$26</c:f>
              <c:strCache>
                <c:ptCount val="1"/>
                <c:pt idx="0">
                  <c:v>Ventas ($)</c:v>
                </c:pt>
              </c:strCache>
            </c:strRef>
          </c:tx>
          <c:spPr>
            <a:ln w="47520">
              <a:solidFill>
                <a:srgbClr val="1ABC9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D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Gráficos!$A$27:$A$29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Gráficos!$B$27:$B$29</c:f>
              <c:numCache>
                <c:formatCode>\$#,##0</c:formatCode>
                <c:ptCount val="3"/>
                <c:pt idx="0">
                  <c:v>17719</c:v>
                </c:pt>
                <c:pt idx="1">
                  <c:v>6217</c:v>
                </c:pt>
                <c:pt idx="2">
                  <c:v>8785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56-4CB8-9CBA-D026275187F7}"/>
            </c:ext>
          </c:extLst>
        </c:ser>
        <c:ser>
          <c:idx val="1"/>
          <c:order val="1"/>
          <c:tx>
            <c:strRef>
              <c:f>Gráficos!$C$26</c:f>
              <c:strCache>
                <c:ptCount val="1"/>
                <c:pt idx="0">
                  <c:v>Compras ($)</c:v>
                </c:pt>
              </c:strCache>
            </c:strRef>
          </c:tx>
          <c:spPr>
            <a:ln w="47520">
              <a:solidFill>
                <a:srgbClr val="2E5FA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D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Gráficos!$A$27:$A$29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</c:strCache>
            </c:strRef>
          </c:cat>
          <c:val>
            <c:numRef>
              <c:f>Gráficos!$C$27:$C$29</c:f>
              <c:numCache>
                <c:formatCode>\$#,##0</c:formatCode>
                <c:ptCount val="3"/>
                <c:pt idx="0">
                  <c:v>46077</c:v>
                </c:pt>
                <c:pt idx="1">
                  <c:v>20460</c:v>
                </c:pt>
                <c:pt idx="2">
                  <c:v>26071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156-4CB8-9CBA-D02627518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4556906"/>
        <c:axId val="28527591"/>
      </c:lineChart>
      <c:catAx>
        <c:axId val="245569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DO"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DO"/>
          </a:p>
        </c:txPr>
        <c:crossAx val="28527591"/>
        <c:crosses val="autoZero"/>
        <c:auto val="1"/>
        <c:lblAlgn val="ctr"/>
        <c:lblOffset val="100"/>
        <c:noMultiLvlLbl val="0"/>
      </c:catAx>
      <c:valAx>
        <c:axId val="28527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DO" sz="1000" b="1" strike="noStrike" spc="-1">
                    <a:solidFill>
                      <a:srgbClr val="000000"/>
                    </a:solidFill>
                    <a:latin typeface="Calibri"/>
                  </a:rPr>
                  <a:t>Monto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DO"/>
          </a:p>
        </c:txPr>
        <c:crossAx val="245569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D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15</xdr:col>
      <xdr:colOff>364680</xdr:colOff>
      <xdr:row>25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25</xdr:row>
      <xdr:rowOff>0</xdr:rowOff>
    </xdr:from>
    <xdr:to>
      <xdr:col>15</xdr:col>
      <xdr:colOff>364680</xdr:colOff>
      <xdr:row>47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147600</xdr:colOff>
      <xdr:row>25</xdr:row>
      <xdr:rowOff>128880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25</xdr:row>
      <xdr:rowOff>0</xdr:rowOff>
    </xdr:from>
    <xdr:to>
      <xdr:col>25</xdr:col>
      <xdr:colOff>364680</xdr:colOff>
      <xdr:row>47</xdr:row>
      <xdr:rowOff>128520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Q32"/>
  <sheetViews>
    <sheetView showGridLines="0" zoomScaleNormal="100" workbookViewId="0">
      <selection activeCell="A3" sqref="A3:Q3"/>
    </sheetView>
  </sheetViews>
  <sheetFormatPr baseColWidth="10" defaultColWidth="8.7109375" defaultRowHeight="15" x14ac:dyDescent="0.25"/>
  <cols>
    <col min="1" max="1" width="14" customWidth="1"/>
    <col min="2" max="2" width="26" customWidth="1"/>
    <col min="3" max="3" width="18.42578125" customWidth="1"/>
    <col min="4" max="5" width="16" customWidth="1"/>
    <col min="6" max="6" width="14" customWidth="1"/>
    <col min="7" max="7" width="12.7109375" customWidth="1"/>
    <col min="8" max="8" width="15.7109375" customWidth="1"/>
    <col min="9" max="9" width="18" customWidth="1"/>
    <col min="10" max="10" width="8" customWidth="1"/>
    <col min="11" max="13" width="16" customWidth="1"/>
    <col min="14" max="16" width="12" customWidth="1"/>
    <col min="17" max="17" width="10" customWidth="1"/>
  </cols>
  <sheetData>
    <row r="1" spans="1:17" ht="45" customHeight="1" x14ac:dyDescent="0.25">
      <c r="A1" s="59" t="s">
        <v>287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17" ht="4.5" customHeigh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17" ht="19.5" customHeight="1" x14ac:dyDescent="0.25">
      <c r="A3" s="60" t="s">
        <v>285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customHeight="1" x14ac:dyDescent="0.25">
      <c r="A5" s="54" t="s">
        <v>0</v>
      </c>
      <c r="B5" s="54"/>
      <c r="C5" s="54"/>
      <c r="D5" s="54"/>
      <c r="E5" s="55" t="s">
        <v>1</v>
      </c>
      <c r="F5" s="55"/>
      <c r="G5" s="55"/>
      <c r="H5" s="55"/>
      <c r="I5" s="61" t="s">
        <v>2</v>
      </c>
      <c r="J5" s="61"/>
      <c r="K5" s="61"/>
      <c r="L5" s="61"/>
      <c r="M5" s="62" t="s">
        <v>3</v>
      </c>
      <c r="N5" s="62"/>
      <c r="O5" s="62"/>
      <c r="P5" s="62"/>
      <c r="Q5" s="62"/>
    </row>
    <row r="6" spans="1:17" ht="31.5" customHeight="1" x14ac:dyDescent="0.25">
      <c r="A6" s="89">
        <f>IFERROR(SUM(Ventas!F4:F500),0)</f>
        <v>65442</v>
      </c>
      <c r="B6" s="89"/>
      <c r="C6" s="89"/>
      <c r="D6" s="89"/>
      <c r="E6" s="88">
        <f>IFERROR(SUM(Compras!F4:F500),0)</f>
        <v>185216</v>
      </c>
      <c r="F6" s="88"/>
      <c r="G6" s="88"/>
      <c r="H6" s="88"/>
      <c r="I6" s="90">
        <f>IFERROR(SUM(Rentabilidad!I4:I103),0)</f>
        <v>14651</v>
      </c>
      <c r="J6" s="90"/>
      <c r="K6" s="90"/>
      <c r="L6" s="90"/>
      <c r="M6" s="57">
        <f>IFERROR(SUM(Ventas!D4:D500),0)</f>
        <v>254</v>
      </c>
      <c r="N6" s="78"/>
      <c r="O6" s="78"/>
      <c r="P6" s="78"/>
      <c r="Q6" s="78"/>
    </row>
    <row r="7" spans="1:17" ht="7.5" customHeight="1" x14ac:dyDescent="0.25">
      <c r="A7" s="49"/>
      <c r="B7" s="49"/>
      <c r="C7" s="49"/>
      <c r="D7" s="49"/>
      <c r="E7" s="50"/>
      <c r="F7" s="50"/>
      <c r="G7" s="50"/>
      <c r="H7" s="50"/>
      <c r="I7" s="58"/>
      <c r="J7" s="58"/>
      <c r="K7" s="58"/>
      <c r="L7" s="58"/>
      <c r="M7" s="79"/>
      <c r="N7" s="80"/>
      <c r="O7" s="80"/>
      <c r="P7" s="80"/>
      <c r="Q7" s="80"/>
    </row>
    <row r="8" spans="1:17" ht="18" customHeight="1" x14ac:dyDescent="0.25">
      <c r="A8" s="41"/>
      <c r="B8" s="41"/>
      <c r="C8" s="41"/>
      <c r="D8" s="41"/>
      <c r="E8" s="42"/>
      <c r="F8" s="42"/>
      <c r="G8" s="42"/>
      <c r="H8" s="42"/>
      <c r="I8" s="52"/>
      <c r="J8" s="52"/>
      <c r="K8" s="52"/>
      <c r="L8" s="52"/>
      <c r="M8" s="81"/>
      <c r="N8" s="82"/>
      <c r="O8" s="82"/>
      <c r="P8" s="82"/>
      <c r="Q8" s="82"/>
    </row>
    <row r="9" spans="1:17" ht="6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83"/>
      <c r="N9" s="83"/>
      <c r="O9" s="83"/>
      <c r="P9" s="83"/>
      <c r="Q9" s="83"/>
    </row>
    <row r="10" spans="1:17" ht="15.75" customHeight="1" x14ac:dyDescent="0.25">
      <c r="A10" s="53" t="s">
        <v>4</v>
      </c>
      <c r="B10" s="53"/>
      <c r="C10" s="53"/>
      <c r="D10" s="53"/>
      <c r="E10" s="54" t="s">
        <v>5</v>
      </c>
      <c r="F10" s="54"/>
      <c r="G10" s="54"/>
      <c r="H10" s="54"/>
      <c r="I10" s="55" t="s">
        <v>6</v>
      </c>
      <c r="J10" s="55"/>
      <c r="K10" s="55"/>
      <c r="L10" s="55"/>
      <c r="M10" s="56" t="s">
        <v>7</v>
      </c>
      <c r="N10" s="56"/>
      <c r="O10" s="56"/>
      <c r="P10" s="56"/>
      <c r="Q10" s="56"/>
    </row>
    <row r="11" spans="1:17" ht="31.5" customHeight="1" x14ac:dyDescent="0.25">
      <c r="A11" s="44">
        <f>COUNTA(Productos!A4:A200)</f>
        <v>101</v>
      </c>
      <c r="B11" s="44"/>
      <c r="C11" s="44"/>
      <c r="D11" s="44"/>
      <c r="E11" s="45">
        <f>IFERROR(AVERAGE(Rentabilidad!J4:J103),0)</f>
        <v>0.52107877845558703</v>
      </c>
      <c r="F11" s="45"/>
      <c r="G11" s="45"/>
      <c r="H11" s="45"/>
      <c r="I11" s="46" t="str">
        <f>IFERROR(INDEX(Productos!B4:B103,MATCH(MAX(Rentabilidad!F4:F103),Rentabilidad!F4:F103,0)),"—")</f>
        <v>Mouse Office Silent</v>
      </c>
      <c r="J11" s="46"/>
      <c r="K11" s="46"/>
      <c r="L11" s="46"/>
      <c r="M11" s="47">
        <f>COUNTIF(Inventario!G4:G103,"Crítico")</f>
        <v>3</v>
      </c>
      <c r="N11" s="84"/>
      <c r="O11" s="84"/>
      <c r="P11" s="84"/>
      <c r="Q11" s="84"/>
    </row>
    <row r="12" spans="1:17" ht="7.5" customHeight="1" x14ac:dyDescent="0.25">
      <c r="A12" s="48"/>
      <c r="B12" s="48"/>
      <c r="C12" s="48"/>
      <c r="D12" s="48"/>
      <c r="E12" s="49"/>
      <c r="F12" s="49"/>
      <c r="G12" s="49"/>
      <c r="H12" s="49"/>
      <c r="I12" s="50"/>
      <c r="J12" s="50"/>
      <c r="K12" s="50"/>
      <c r="L12" s="50"/>
      <c r="M12" s="51"/>
      <c r="N12" s="51"/>
      <c r="O12" s="51"/>
      <c r="P12" s="51"/>
      <c r="Q12" s="1"/>
    </row>
    <row r="13" spans="1:17" ht="18" customHeight="1" x14ac:dyDescent="0.25">
      <c r="A13" s="40"/>
      <c r="B13" s="40"/>
      <c r="C13" s="40"/>
      <c r="D13" s="40"/>
      <c r="E13" s="41"/>
      <c r="F13" s="41"/>
      <c r="G13" s="41"/>
      <c r="H13" s="41"/>
      <c r="I13" s="42"/>
      <c r="J13" s="42"/>
      <c r="K13" s="42"/>
      <c r="L13" s="42"/>
      <c r="M13" s="85"/>
      <c r="N13" s="86"/>
      <c r="O13" s="86"/>
      <c r="P13" s="86"/>
      <c r="Q13" s="86"/>
    </row>
    <row r="14" spans="1:17" ht="6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27.75" customHeight="1" x14ac:dyDescent="0.25">
      <c r="A16" s="91" t="s">
        <v>288</v>
      </c>
      <c r="B16" s="91"/>
      <c r="C16" s="91"/>
      <c r="D16" s="91"/>
      <c r="E16" s="87"/>
      <c r="F16" s="87"/>
      <c r="G16" s="87"/>
      <c r="H16" s="93" t="s">
        <v>8</v>
      </c>
      <c r="I16" s="93"/>
      <c r="J16" s="93"/>
      <c r="K16" s="93"/>
      <c r="L16" s="93"/>
      <c r="M16" s="93"/>
      <c r="N16" s="93"/>
      <c r="O16" s="93"/>
      <c r="P16" s="93"/>
      <c r="Q16" s="93"/>
    </row>
    <row r="17" spans="1:17" ht="21.75" customHeight="1" x14ac:dyDescent="0.25">
      <c r="A17" s="2" t="s">
        <v>9</v>
      </c>
      <c r="B17" s="2" t="s">
        <v>10</v>
      </c>
      <c r="C17" s="2" t="s">
        <v>11</v>
      </c>
      <c r="D17" s="2" t="s">
        <v>12</v>
      </c>
      <c r="E17" s="1"/>
      <c r="F17" s="1"/>
      <c r="G17" s="1"/>
      <c r="H17" s="94" t="s">
        <v>13</v>
      </c>
      <c r="I17" s="94" t="s">
        <v>14</v>
      </c>
      <c r="J17" s="94" t="s">
        <v>11</v>
      </c>
      <c r="K17" s="94" t="s">
        <v>12</v>
      </c>
      <c r="L17" s="94" t="s">
        <v>15</v>
      </c>
      <c r="M17" s="95"/>
      <c r="N17" s="95"/>
      <c r="O17" s="95"/>
      <c r="P17" s="95"/>
      <c r="Q17" s="95"/>
    </row>
    <row r="18" spans="1:17" ht="18" customHeight="1" x14ac:dyDescent="0.25">
      <c r="A18" s="3" t="str">
        <f>IFERROR(INDEX(Rentabilidad!$A$4:$A$103,MATCH(LARGE(Rentabilidad!$F$4:$F$103,1),Rentabilidad!$F$4:$F$103,0)),"")</f>
        <v>P008</v>
      </c>
      <c r="B18" s="4" t="str">
        <f>IFERROR(INDEX(Rentabilidad!$B$4:$B$103,MATCH(LARGE(Rentabilidad!$F$4:$F$103,1),Rentabilidad!$F$4:$F$103,0)),"")</f>
        <v>Mouse Office Silent</v>
      </c>
      <c r="C18" s="5">
        <f>IFERROR(LARGE(Rentabilidad!$F$4:$F$103,1),0)</f>
        <v>7</v>
      </c>
      <c r="D18" s="100">
        <f>IFERROR(INDEX(Rentabilidad!$G$4:$G$103,MATCH(LARGE(Rentabilidad!$F$4:$F$103,1),Rentabilidad!$F$4:$F$103,0)),0)</f>
        <v>210</v>
      </c>
      <c r="E18" s="1"/>
      <c r="F18" s="1"/>
      <c r="G18" s="1"/>
      <c r="H18" s="96" t="s">
        <v>16</v>
      </c>
      <c r="I18" s="99">
        <f>COUNTIF(Productos!$C:$C,H18)</f>
        <v>5</v>
      </c>
      <c r="J18" s="99">
        <f>SUMIF(Rentabilidad!$C$4:$C$103,H18,Rentabilidad!$F$4:$F$103)</f>
        <v>12</v>
      </c>
      <c r="K18" s="99">
        <f>SUMIF(Rentabilidad!$C$4:$C$103,H18,Rentabilidad!$G$4:$G$103)</f>
        <v>10690</v>
      </c>
      <c r="L18" s="99">
        <f>SUMIF(Rentabilidad!$C$4:$C$103,H18,Rentabilidad!$I$4:$I$103)</f>
        <v>3550</v>
      </c>
      <c r="M18" s="95"/>
      <c r="N18" s="95"/>
      <c r="O18" s="95"/>
      <c r="P18" s="95"/>
      <c r="Q18" s="95"/>
    </row>
    <row r="19" spans="1:17" ht="18" customHeight="1" x14ac:dyDescent="0.25">
      <c r="A19" s="6" t="str">
        <f>IFERROR(INDEX(Rentabilidad!$A$4:$A$103,MATCH(LARGE(Rentabilidad!$F$4:$F$103,2),Rentabilidad!$F$4:$F$103,0)),"")</f>
        <v>P006</v>
      </c>
      <c r="B19" s="8" t="str">
        <f>IFERROR(INDEX(Rentabilidad!$B$4:$B$103,MATCH(LARGE(Rentabilidad!$F$4:$F$103,2),Rentabilidad!$F$4:$F$103,0)),"")</f>
        <v>Mouse Gamer RGB</v>
      </c>
      <c r="C19" s="7">
        <f>IFERROR(LARGE(Rentabilidad!$F$4:$F$103,2),0)</f>
        <v>6</v>
      </c>
      <c r="D19" s="99">
        <f>IFERROR(INDEX(Rentabilidad!$G$4:$G$103,MATCH(LARGE(Rentabilidad!$F$4:$F$103,2),Rentabilidad!$F$4:$F$103,0)),0)</f>
        <v>252</v>
      </c>
      <c r="E19" s="1"/>
      <c r="F19" s="1"/>
      <c r="G19" s="1"/>
      <c r="H19" s="97" t="s">
        <v>17</v>
      </c>
      <c r="I19" s="100">
        <f>COUNTIF(Productos!$C:$C,H19)</f>
        <v>15</v>
      </c>
      <c r="J19" s="100">
        <f>SUMIF(Rentabilidad!$C$4:$C$103,H19,Rentabilidad!$F$4:$F$103)</f>
        <v>57</v>
      </c>
      <c r="K19" s="100">
        <f>SUMIF(Rentabilidad!$C$4:$C$103,H19,Rentabilidad!$G$4:$G$103)</f>
        <v>2665</v>
      </c>
      <c r="L19" s="100">
        <f>SUMIF(Rentabilidad!$C$4:$C$103,H19,Rentabilidad!$I$4:$I$103)</f>
        <v>1506</v>
      </c>
      <c r="M19" s="95"/>
      <c r="N19" s="95"/>
      <c r="O19" s="95"/>
      <c r="P19" s="95"/>
      <c r="Q19" s="95"/>
    </row>
    <row r="20" spans="1:17" ht="18" customHeight="1" x14ac:dyDescent="0.25">
      <c r="A20" s="3" t="str">
        <f>IFERROR(INDEX(Rentabilidad!$A$4:$A$103,MATCH(LARGE(Rentabilidad!$F$4:$F$103,3),Rentabilidad!$F$4:$F$103,0)),"")</f>
        <v>P006</v>
      </c>
      <c r="B20" s="4" t="str">
        <f>IFERROR(INDEX(Rentabilidad!$B$4:$B$103,MATCH(LARGE(Rentabilidad!$F$4:$F$103,3),Rentabilidad!$F$4:$F$103,0)),"")</f>
        <v>Mouse Gamer RGB</v>
      </c>
      <c r="C20" s="5">
        <f>IFERROR(LARGE(Rentabilidad!$F$4:$F$103,3),0)</f>
        <v>6</v>
      </c>
      <c r="D20" s="100">
        <f>IFERROR(INDEX(Rentabilidad!$G$4:$G$103,MATCH(LARGE(Rentabilidad!$F$4:$F$103,3),Rentabilidad!$F$4:$F$103,0)),0)</f>
        <v>252</v>
      </c>
      <c r="E20" s="1"/>
      <c r="F20" s="1"/>
      <c r="G20" s="1"/>
      <c r="H20" s="96" t="s">
        <v>18</v>
      </c>
      <c r="I20" s="99">
        <f>COUNTIF(Productos!$C:$C,H20)</f>
        <v>5</v>
      </c>
      <c r="J20" s="99">
        <f>SUMIF(Rentabilidad!$C$4:$C$103,H20,Rentabilidad!$F$4:$F$103)</f>
        <v>6</v>
      </c>
      <c r="K20" s="99">
        <f>SUMIF(Rentabilidad!$C$4:$C$103,H20,Rentabilidad!$G$4:$G$103)</f>
        <v>1730</v>
      </c>
      <c r="L20" s="99">
        <f>SUMIF(Rentabilidad!$C$4:$C$103,H20,Rentabilidad!$I$4:$I$103)</f>
        <v>675</v>
      </c>
      <c r="M20" s="95"/>
      <c r="N20" s="95"/>
      <c r="O20" s="95"/>
      <c r="P20" s="95"/>
      <c r="Q20" s="95"/>
    </row>
    <row r="21" spans="1:17" ht="18" customHeight="1" x14ac:dyDescent="0.25">
      <c r="A21" s="6" t="str">
        <f>IFERROR(INDEX(Rentabilidad!$A$4:$A$103,MATCH(LARGE(Rentabilidad!$F$4:$F$103,4),Rentabilidad!$F$4:$F$103,0)),"")</f>
        <v>P006</v>
      </c>
      <c r="B21" s="8" t="str">
        <f>IFERROR(INDEX(Rentabilidad!$B$4:$B$103,MATCH(LARGE(Rentabilidad!$F$4:$F$103,4),Rentabilidad!$F$4:$F$103,0)),"")</f>
        <v>Mouse Gamer RGB</v>
      </c>
      <c r="C21" s="7">
        <f>IFERROR(LARGE(Rentabilidad!$F$4:$F$103,4),0)</f>
        <v>6</v>
      </c>
      <c r="D21" s="99">
        <f>IFERROR(INDEX(Rentabilidad!$G$4:$G$103,MATCH(LARGE(Rentabilidad!$F$4:$F$103,4),Rentabilidad!$F$4:$F$103,0)),0)</f>
        <v>252</v>
      </c>
      <c r="E21" s="1"/>
      <c r="F21" s="1"/>
      <c r="G21" s="1"/>
      <c r="H21" s="97" t="s">
        <v>19</v>
      </c>
      <c r="I21" s="100">
        <f>COUNTIF(Productos!$C:$C,H21)</f>
        <v>5</v>
      </c>
      <c r="J21" s="100">
        <f>SUMIF(Rentabilidad!$C$4:$C$103,H21,Rentabilidad!$F$4:$F$103)</f>
        <v>16</v>
      </c>
      <c r="K21" s="100">
        <f>SUMIF(Rentabilidad!$C$4:$C$103,H21,Rentabilidad!$G$4:$G$103)</f>
        <v>1151</v>
      </c>
      <c r="L21" s="100">
        <f>SUMIF(Rentabilidad!$C$4:$C$103,H21,Rentabilidad!$I$4:$I$103)</f>
        <v>597</v>
      </c>
      <c r="M21" s="95"/>
      <c r="N21" s="95"/>
      <c r="O21" s="95"/>
      <c r="P21" s="95"/>
      <c r="Q21" s="95"/>
    </row>
    <row r="22" spans="1:17" ht="18" customHeight="1" x14ac:dyDescent="0.25">
      <c r="A22" s="3" t="str">
        <f>IFERROR(INDEX(Rentabilidad!$A$4:$A$103,MATCH(LARGE(Rentabilidad!$F$4:$F$103,5),Rentabilidad!$F$4:$F$103,0)),"")</f>
        <v>P007</v>
      </c>
      <c r="B22" s="4" t="str">
        <f>IFERROR(INDEX(Rentabilidad!$B$4:$B$103,MATCH(LARGE(Rentabilidad!$F$4:$F$103,5),Rentabilidad!$F$4:$F$103,0)),"")</f>
        <v>Mouse Wireless Pro</v>
      </c>
      <c r="C22" s="5">
        <f>IFERROR(LARGE(Rentabilidad!$F$4:$F$103,5),0)</f>
        <v>5</v>
      </c>
      <c r="D22" s="100">
        <f>IFERROR(INDEX(Rentabilidad!$G$4:$G$103,MATCH(LARGE(Rentabilidad!$F$4:$F$103,5),Rentabilidad!$F$4:$F$103,0)),0)</f>
        <v>240</v>
      </c>
      <c r="E22" s="1"/>
      <c r="F22" s="1"/>
      <c r="G22" s="1"/>
      <c r="H22" s="98" t="s">
        <v>20</v>
      </c>
      <c r="I22" s="99">
        <f>COUNTIF(Productos!$C:$C,H22)</f>
        <v>10</v>
      </c>
      <c r="J22" s="99">
        <f>SUMIF(Rentabilidad!$C$4:$C$103,H22,Rentabilidad!$F$4:$F$103)</f>
        <v>27</v>
      </c>
      <c r="K22" s="99">
        <f>SUMIF(Rentabilidad!$C$4:$C$103,H22,Rentabilidad!$G$4:$G$103)</f>
        <v>3460</v>
      </c>
      <c r="L22" s="99">
        <f>SUMIF(Rentabilidad!$C$4:$C$103,H22,Rentabilidad!$I$4:$I$103)</f>
        <v>1633</v>
      </c>
      <c r="M22" s="95"/>
      <c r="N22" s="95"/>
      <c r="O22" s="95"/>
      <c r="P22" s="95"/>
      <c r="Q22" s="95"/>
    </row>
    <row r="23" spans="1:17" ht="18" customHeight="1" x14ac:dyDescent="0.25">
      <c r="A23" s="6" t="str">
        <f>IFERROR(INDEX(Rentabilidad!$A$4:$A$103,MATCH(LARGE(Rentabilidad!$F$4:$F$103,6),Rentabilidad!$F$4:$F$103,0)),"")</f>
        <v>P007</v>
      </c>
      <c r="B23" s="8" t="str">
        <f>IFERROR(INDEX(Rentabilidad!$B$4:$B$103,MATCH(LARGE(Rentabilidad!$F$4:$F$103,6),Rentabilidad!$F$4:$F$103,0)),"")</f>
        <v>Mouse Wireless Pro</v>
      </c>
      <c r="C23" s="7">
        <f>IFERROR(LARGE(Rentabilidad!$F$4:$F$103,6),0)</f>
        <v>5</v>
      </c>
      <c r="D23" s="99">
        <f>IFERROR(INDEX(Rentabilidad!$G$4:$G$103,MATCH(LARGE(Rentabilidad!$F$4:$F$103,6),Rentabilidad!$F$4:$F$103,0)),0)</f>
        <v>240</v>
      </c>
      <c r="E23" s="1"/>
      <c r="F23" s="1"/>
      <c r="G23" s="1"/>
      <c r="H23" s="97" t="s">
        <v>21</v>
      </c>
      <c r="I23" s="100">
        <f>COUNTIF(Productos!$C:$C,H23)</f>
        <v>5</v>
      </c>
      <c r="J23" s="100">
        <f>SUMIF(Rentabilidad!$C$4:$C$103,H23,Rentabilidad!$F$4:$F$103)</f>
        <v>16</v>
      </c>
      <c r="K23" s="100">
        <f>SUMIF(Rentabilidad!$C$4:$C$103,H23,Rentabilidad!$G$4:$G$103)</f>
        <v>1230</v>
      </c>
      <c r="L23" s="100">
        <f>SUMIF(Rentabilidad!$C$4:$C$103,H23,Rentabilidad!$I$4:$I$103)</f>
        <v>651</v>
      </c>
      <c r="M23" s="95"/>
      <c r="N23" s="95"/>
      <c r="O23" s="95"/>
      <c r="P23" s="95"/>
      <c r="Q23" s="95"/>
    </row>
    <row r="24" spans="1:17" ht="18" customHeight="1" x14ac:dyDescent="0.25">
      <c r="A24" s="3" t="str">
        <f>IFERROR(INDEX(Rentabilidad!$A$4:$A$103,MATCH(LARGE(Rentabilidad!$F$4:$F$103,7),Rentabilidad!$F$4:$F$103,0)),"")</f>
        <v>P007</v>
      </c>
      <c r="B24" s="4" t="str">
        <f>IFERROR(INDEX(Rentabilidad!$B$4:$B$103,MATCH(LARGE(Rentabilidad!$F$4:$F$103,7),Rentabilidad!$F$4:$F$103,0)),"")</f>
        <v>Mouse Wireless Pro</v>
      </c>
      <c r="C24" s="5">
        <f>IFERROR(LARGE(Rentabilidad!$F$4:$F$103,7),0)</f>
        <v>5</v>
      </c>
      <c r="D24" s="100">
        <f>IFERROR(INDEX(Rentabilidad!$G$4:$G$103,MATCH(LARGE(Rentabilidad!$F$4:$F$103,7),Rentabilidad!$F$4:$F$103,0)),0)</f>
        <v>240</v>
      </c>
      <c r="E24" s="1"/>
      <c r="F24" s="1"/>
      <c r="G24" s="1"/>
      <c r="H24" s="96" t="s">
        <v>22</v>
      </c>
      <c r="I24" s="99">
        <f>COUNTIF(Productos!$C:$C,H24)</f>
        <v>5</v>
      </c>
      <c r="J24" s="99">
        <f>SUMIF(Rentabilidad!$C$4:$C$103,H24,Rentabilidad!$F$4:$F$103)</f>
        <v>9</v>
      </c>
      <c r="K24" s="99">
        <f>SUMIF(Rentabilidad!$C$4:$C$103,H24,Rentabilidad!$G$4:$G$103)</f>
        <v>785</v>
      </c>
      <c r="L24" s="99">
        <f>SUMIF(Rentabilidad!$C$4:$C$103,H24,Rentabilidad!$I$4:$I$103)</f>
        <v>431</v>
      </c>
      <c r="M24" s="95"/>
      <c r="N24" s="95"/>
      <c r="O24" s="95"/>
      <c r="P24" s="95"/>
      <c r="Q24" s="95"/>
    </row>
    <row r="25" spans="1:17" ht="18" customHeight="1" x14ac:dyDescent="0.25">
      <c r="A25" s="6" t="str">
        <f>IFERROR(INDEX(Rentabilidad!$A$4:$A$103,MATCH(LARGE(Rentabilidad!$F$4:$F$103,8),Rentabilidad!$F$4:$F$103,0)),"")</f>
        <v>P007</v>
      </c>
      <c r="B25" s="8" t="str">
        <f>IFERROR(INDEX(Rentabilidad!$B$4:$B$103,MATCH(LARGE(Rentabilidad!$F$4:$F$103,8),Rentabilidad!$F$4:$F$103,0)),"")</f>
        <v>Mouse Wireless Pro</v>
      </c>
      <c r="C25" s="7">
        <f>IFERROR(LARGE(Rentabilidad!$F$4:$F$103,8),0)</f>
        <v>5</v>
      </c>
      <c r="D25" s="99">
        <f>IFERROR(INDEX(Rentabilidad!$G$4:$G$103,MATCH(LARGE(Rentabilidad!$F$4:$F$103,8),Rentabilidad!$F$4:$F$103,0)),0)</f>
        <v>240</v>
      </c>
      <c r="E25" s="1"/>
      <c r="F25" s="1"/>
      <c r="G25" s="1"/>
      <c r="H25" s="97" t="s">
        <v>23</v>
      </c>
      <c r="I25" s="100">
        <f>COUNTIF(Productos!$C:$C,H25)</f>
        <v>5</v>
      </c>
      <c r="J25" s="100">
        <f>SUMIF(Rentabilidad!$C$4:$C$103,H25,Rentabilidad!$F$4:$F$103)</f>
        <v>26</v>
      </c>
      <c r="K25" s="100">
        <f>SUMIF(Rentabilidad!$C$4:$C$103,H25,Rentabilidad!$G$4:$G$103)</f>
        <v>412</v>
      </c>
      <c r="L25" s="100">
        <f>SUMIF(Rentabilidad!$C$4:$C$103,H25,Rentabilidad!$I$4:$I$103)</f>
        <v>291</v>
      </c>
      <c r="M25" s="95"/>
      <c r="N25" s="95"/>
      <c r="O25" s="95"/>
      <c r="P25" s="95"/>
      <c r="Q25" s="95"/>
    </row>
    <row r="26" spans="1:17" ht="18" customHeight="1" x14ac:dyDescent="0.25">
      <c r="A26" s="3" t="str">
        <f>IFERROR(INDEX(Rentabilidad!$A$4:$A$103,MATCH(LARGE(Rentabilidad!$F$4:$F$103,9),Rentabilidad!$F$4:$F$103,0)),"")</f>
        <v>P007</v>
      </c>
      <c r="B26" s="4" t="str">
        <f>IFERROR(INDEX(Rentabilidad!$B$4:$B$103,MATCH(LARGE(Rentabilidad!$F$4:$F$103,9),Rentabilidad!$F$4:$F$103,0)),"")</f>
        <v>Mouse Wireless Pro</v>
      </c>
      <c r="C26" s="5">
        <f>IFERROR(LARGE(Rentabilidad!$F$4:$F$103,9),0)</f>
        <v>5</v>
      </c>
      <c r="D26" s="100">
        <f>IFERROR(INDEX(Rentabilidad!$G$4:$G$103,MATCH(LARGE(Rentabilidad!$F$4:$F$103,9),Rentabilidad!$F$4:$F$103,0)),0)</f>
        <v>240</v>
      </c>
      <c r="E26" s="1"/>
      <c r="F26" s="1"/>
      <c r="G26" s="1"/>
      <c r="H26" s="96" t="s">
        <v>24</v>
      </c>
      <c r="I26" s="99">
        <f>COUNTIF(Productos!$C:$C,H26)</f>
        <v>5</v>
      </c>
      <c r="J26" s="99">
        <f>SUMIF(Rentabilidad!$C$4:$C$103,H26,Rentabilidad!$F$4:$F$103)</f>
        <v>7</v>
      </c>
      <c r="K26" s="99">
        <f>SUMIF(Rentabilidad!$C$4:$C$103,H26,Rentabilidad!$G$4:$G$103)</f>
        <v>1680</v>
      </c>
      <c r="L26" s="99">
        <f>SUMIF(Rentabilidad!$C$4:$C$103,H26,Rentabilidad!$I$4:$I$103)</f>
        <v>650</v>
      </c>
      <c r="M26" s="95"/>
      <c r="N26" s="95"/>
      <c r="O26" s="95"/>
      <c r="P26" s="95"/>
      <c r="Q26" s="95"/>
    </row>
    <row r="27" spans="1:17" ht="18" customHeight="1" x14ac:dyDescent="0.25">
      <c r="A27" s="6" t="str">
        <f>IFERROR(INDEX(Rentabilidad!$A$4:$A$103,MATCH(LARGE(Rentabilidad!$F$4:$F$103,10),Rentabilidad!$F$4:$F$103,0)),"")</f>
        <v>P007</v>
      </c>
      <c r="B27" s="8" t="str">
        <f>IFERROR(INDEX(Rentabilidad!$B$4:$B$103,MATCH(LARGE(Rentabilidad!$F$4:$F$103,10),Rentabilidad!$F$4:$F$103,0)),"")</f>
        <v>Mouse Wireless Pro</v>
      </c>
      <c r="C27" s="7">
        <f>IFERROR(LARGE(Rentabilidad!$F$4:$F$103,10),0)</f>
        <v>5</v>
      </c>
      <c r="D27" s="99">
        <f>IFERROR(INDEX(Rentabilidad!$G$4:$G$103,MATCH(LARGE(Rentabilidad!$F$4:$F$103,10),Rentabilidad!$F$4:$F$103,0)),0)</f>
        <v>240</v>
      </c>
      <c r="E27" s="1"/>
      <c r="F27" s="1"/>
      <c r="G27" s="1"/>
      <c r="H27" s="97" t="s">
        <v>25</v>
      </c>
      <c r="I27" s="100">
        <f>COUNTIF(Productos!$C:$C,H27)</f>
        <v>5</v>
      </c>
      <c r="J27" s="100">
        <f>SUMIF(Rentabilidad!$C$4:$C$103,H27,Rentabilidad!$F$4:$F$103)</f>
        <v>8</v>
      </c>
      <c r="K27" s="100">
        <f>SUMIF(Rentabilidad!$C$4:$C$103,H27,Rentabilidad!$G$4:$G$103)</f>
        <v>1380</v>
      </c>
      <c r="L27" s="100">
        <f>SUMIF(Rentabilidad!$C$4:$C$103,H27,Rentabilidad!$I$4:$I$103)</f>
        <v>700</v>
      </c>
      <c r="M27" s="95"/>
      <c r="N27" s="95"/>
      <c r="O27" s="95"/>
      <c r="P27" s="95"/>
      <c r="Q27" s="95"/>
    </row>
    <row r="28" spans="1:17" ht="7.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3.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7.75" customHeight="1" x14ac:dyDescent="0.25">
      <c r="A30" s="38" t="s">
        <v>286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</row>
    <row r="31" spans="1:17" ht="15.75" customHeight="1" x14ac:dyDescent="0.25">
      <c r="A31" s="39" t="s">
        <v>27</v>
      </c>
      <c r="B31" s="39"/>
      <c r="C31" s="39"/>
      <c r="D31" s="39"/>
      <c r="E31" s="39" t="s">
        <v>28</v>
      </c>
      <c r="F31" s="39"/>
      <c r="G31" s="39"/>
      <c r="H31" s="39"/>
      <c r="I31" s="92" t="s">
        <v>29</v>
      </c>
      <c r="J31" s="92"/>
      <c r="K31" s="92"/>
      <c r="L31" s="92"/>
      <c r="M31" s="39" t="s">
        <v>30</v>
      </c>
      <c r="N31" s="39"/>
      <c r="O31" s="39"/>
      <c r="P31" s="39"/>
      <c r="Q31" s="39"/>
    </row>
    <row r="32" spans="1:17" ht="30" customHeight="1" x14ac:dyDescent="0.25">
      <c r="A32" s="101">
        <f>IFERROR(SUM(Ventas!F4:F500),0)</f>
        <v>65442</v>
      </c>
      <c r="B32" s="101"/>
      <c r="C32" s="101"/>
      <c r="D32" s="101"/>
      <c r="E32" s="101">
        <f>IFERROR(SUM(Compras!F4:F500),0)</f>
        <v>185216</v>
      </c>
      <c r="F32" s="101"/>
      <c r="G32" s="101"/>
      <c r="H32" s="101"/>
      <c r="I32" s="101">
        <f>IFERROR(SUM(Rentabilidad!I4:I103),0)</f>
        <v>14651</v>
      </c>
      <c r="J32" s="102"/>
      <c r="K32" s="102"/>
      <c r="L32" s="103"/>
      <c r="M32" s="37">
        <f>IFERROR(SUM(Rentabilidad!I4:I103)/SUM(Ventas!F4:F500),0)</f>
        <v>0.22387763210170838</v>
      </c>
      <c r="N32" s="104"/>
      <c r="O32" s="104"/>
      <c r="P32" s="104"/>
      <c r="Q32" s="105"/>
    </row>
  </sheetData>
  <mergeCells count="45">
    <mergeCell ref="A30:Q30"/>
    <mergeCell ref="A1:Q2"/>
    <mergeCell ref="A3:Q3"/>
    <mergeCell ref="A5:D5"/>
    <mergeCell ref="E5:H5"/>
    <mergeCell ref="I5:L5"/>
    <mergeCell ref="M5:Q5"/>
    <mergeCell ref="A6:D6"/>
    <mergeCell ref="E6:H6"/>
    <mergeCell ref="I6:L6"/>
    <mergeCell ref="A7:D7"/>
    <mergeCell ref="E7:H7"/>
    <mergeCell ref="I7:L7"/>
    <mergeCell ref="M6:Q6"/>
    <mergeCell ref="M7:Q7"/>
    <mergeCell ref="A8:D8"/>
    <mergeCell ref="E8:H8"/>
    <mergeCell ref="I8:L8"/>
    <mergeCell ref="A10:D10"/>
    <mergeCell ref="E10:H10"/>
    <mergeCell ref="I10:L10"/>
    <mergeCell ref="M8:Q8"/>
    <mergeCell ref="M10:Q10"/>
    <mergeCell ref="A11:D11"/>
    <mergeCell ref="E11:H11"/>
    <mergeCell ref="I11:L11"/>
    <mergeCell ref="A12:D12"/>
    <mergeCell ref="E12:H12"/>
    <mergeCell ref="I12:L12"/>
    <mergeCell ref="M12:P12"/>
    <mergeCell ref="M11:Q11"/>
    <mergeCell ref="A13:D13"/>
    <mergeCell ref="E13:H13"/>
    <mergeCell ref="I13:L13"/>
    <mergeCell ref="M13:Q13"/>
    <mergeCell ref="A16:D16"/>
    <mergeCell ref="H16:Q16"/>
    <mergeCell ref="A32:D32"/>
    <mergeCell ref="E32:H32"/>
    <mergeCell ref="I32:L32"/>
    <mergeCell ref="A31:D31"/>
    <mergeCell ref="E31:H31"/>
    <mergeCell ref="I31:L31"/>
    <mergeCell ref="M31:Q31"/>
    <mergeCell ref="M32:Q3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BC9C"/>
  </sheetPr>
  <dimension ref="A1:O77"/>
  <sheetViews>
    <sheetView showGridLines="0" topLeftCell="B1" zoomScaleNormal="100" workbookViewId="0">
      <selection activeCell="I15" sqref="I15"/>
    </sheetView>
  </sheetViews>
  <sheetFormatPr baseColWidth="10" defaultColWidth="8.7109375" defaultRowHeight="15" x14ac:dyDescent="0.25"/>
  <cols>
    <col min="1" max="1" width="22" customWidth="1"/>
    <col min="2" max="4" width="18" customWidth="1"/>
    <col min="5" max="6" width="14" customWidth="1"/>
    <col min="7" max="8" width="4" customWidth="1"/>
    <col min="9" max="9" width="22" customWidth="1"/>
    <col min="10" max="12" width="18" customWidth="1"/>
    <col min="13" max="15" width="14" customWidth="1"/>
  </cols>
  <sheetData>
    <row r="1" spans="1:15" ht="39.75" customHeight="1" x14ac:dyDescent="0.25">
      <c r="A1" s="72" t="s">
        <v>31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ht="18" customHeight="1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8" customHeight="1" x14ac:dyDescent="0.25">
      <c r="A3" s="60" t="s">
        <v>285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</row>
    <row r="4" spans="1: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7.75" customHeight="1" x14ac:dyDescent="0.25">
      <c r="A5" s="73" t="s">
        <v>32</v>
      </c>
      <c r="B5" s="73"/>
      <c r="C5" s="73"/>
      <c r="D5" s="73"/>
      <c r="E5" s="73"/>
      <c r="F5" s="73"/>
      <c r="G5" s="73"/>
      <c r="H5" s="1"/>
      <c r="I5" s="43" t="s">
        <v>33</v>
      </c>
      <c r="J5" s="43"/>
      <c r="K5" s="43"/>
      <c r="L5" s="43"/>
      <c r="M5" s="43"/>
      <c r="N5" s="43"/>
      <c r="O5" s="43"/>
    </row>
    <row r="6" spans="1:15" ht="21.75" customHeight="1" x14ac:dyDescent="0.25">
      <c r="A6" s="9" t="s">
        <v>34</v>
      </c>
      <c r="B6" s="70"/>
      <c r="C6" s="70"/>
      <c r="D6" s="70"/>
      <c r="E6" s="10"/>
      <c r="F6" s="1"/>
      <c r="G6" s="1"/>
      <c r="H6" s="1"/>
      <c r="I6" s="9" t="s">
        <v>34</v>
      </c>
      <c r="J6" s="70"/>
      <c r="K6" s="70"/>
      <c r="L6" s="70"/>
      <c r="M6" s="10"/>
      <c r="N6" s="1"/>
      <c r="O6" s="1"/>
    </row>
    <row r="7" spans="1:15" ht="21.75" customHeight="1" x14ac:dyDescent="0.25">
      <c r="A7" s="9" t="s">
        <v>35</v>
      </c>
      <c r="B7" s="70"/>
      <c r="C7" s="70"/>
      <c r="D7" s="70"/>
      <c r="E7" s="1"/>
      <c r="F7" s="1"/>
      <c r="G7" s="1"/>
      <c r="H7" s="1"/>
      <c r="I7" s="9" t="s">
        <v>35</v>
      </c>
      <c r="J7" s="70"/>
      <c r="K7" s="70"/>
      <c r="L7" s="70"/>
      <c r="M7" s="1"/>
      <c r="N7" s="1"/>
      <c r="O7" s="1"/>
    </row>
    <row r="8" spans="1:15" x14ac:dyDescent="0.25">
      <c r="A8" s="9" t="s">
        <v>36</v>
      </c>
      <c r="B8" s="71" t="str">
        <f>IFERROR(VLOOKUP(B7,Productos!$A:$B,2,0),"— ingrese un ID Válido —")</f>
        <v>— ingrese un ID Válido —</v>
      </c>
      <c r="C8" s="71"/>
      <c r="D8" s="71"/>
      <c r="E8" s="1"/>
      <c r="F8" s="1"/>
      <c r="G8" s="1"/>
      <c r="H8" s="1"/>
      <c r="I8" s="9" t="s">
        <v>36</v>
      </c>
      <c r="J8" s="71" t="str">
        <f>IFERROR(VLOOKUP(J7,Productos!$A:$B,2,0),"— ingrese ID válido —")</f>
        <v>— ingrese ID válido —</v>
      </c>
      <c r="K8" s="71"/>
      <c r="L8" s="71"/>
      <c r="M8" s="1"/>
      <c r="N8" s="1"/>
      <c r="O8" s="1"/>
    </row>
    <row r="9" spans="1:15" ht="21.75" customHeight="1" x14ac:dyDescent="0.25">
      <c r="A9" s="9" t="s">
        <v>37</v>
      </c>
      <c r="B9" s="70"/>
      <c r="C9" s="70"/>
      <c r="D9" s="70"/>
      <c r="E9" s="1"/>
      <c r="F9" s="1"/>
      <c r="G9" s="1"/>
      <c r="H9" s="1"/>
      <c r="I9" s="9" t="s">
        <v>37</v>
      </c>
      <c r="J9" s="70"/>
      <c r="K9" s="70"/>
      <c r="L9" s="70"/>
      <c r="M9" s="1"/>
      <c r="N9" s="1"/>
      <c r="O9" s="1"/>
    </row>
    <row r="10" spans="1:15" x14ac:dyDescent="0.25">
      <c r="A10" s="106" t="s">
        <v>38</v>
      </c>
      <c r="B10" s="67" t="str">
        <f>IFERROR(VLOOKUP(B7,Productos!$A:$E,5,0),"—")</f>
        <v>—</v>
      </c>
      <c r="C10" s="67"/>
      <c r="D10" s="67"/>
      <c r="E10" s="1"/>
      <c r="F10" s="1"/>
      <c r="G10" s="1"/>
      <c r="H10" s="1"/>
      <c r="I10" s="9" t="s">
        <v>39</v>
      </c>
      <c r="J10" s="67" t="str">
        <f>IFERROR(VLOOKUP(J7,Productos!$A:$D,4,0),"—")</f>
        <v>—</v>
      </c>
      <c r="K10" s="67"/>
      <c r="L10" s="67"/>
      <c r="M10" s="1"/>
      <c r="N10" s="1"/>
      <c r="O10" s="1"/>
    </row>
    <row r="11" spans="1:15" ht="17.25" x14ac:dyDescent="0.25">
      <c r="A11" s="107" t="s">
        <v>40</v>
      </c>
      <c r="B11" s="68" t="str">
        <f>IFERROR(B9*B10,"")</f>
        <v/>
      </c>
      <c r="C11" s="68"/>
      <c r="D11" s="68"/>
      <c r="E11" s="1"/>
      <c r="F11" s="1"/>
      <c r="G11" s="1"/>
      <c r="H11" s="1"/>
      <c r="I11" s="11" t="s">
        <v>41</v>
      </c>
      <c r="J11" s="69" t="str">
        <f>IFERROR(J9*J10,"")</f>
        <v/>
      </c>
      <c r="K11" s="69"/>
      <c r="L11" s="69"/>
      <c r="M11" s="1"/>
      <c r="N11" s="1"/>
      <c r="O11" s="1"/>
    </row>
    <row r="12" spans="1: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7.75" customHeight="1" x14ac:dyDescent="0.25">
      <c r="A13" s="38" t="s">
        <v>42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</row>
    <row r="14" spans="1:15" ht="15" customHeight="1" x14ac:dyDescent="0.2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1:15" ht="21.75" customHeight="1" x14ac:dyDescent="0.25">
      <c r="A15" s="9" t="s">
        <v>35</v>
      </c>
      <c r="B15" s="63"/>
      <c r="C15" s="63"/>
      <c r="D15" s="63"/>
      <c r="E15" s="63"/>
      <c r="F15" s="63"/>
      <c r="G15" s="1"/>
      <c r="H15" s="1"/>
      <c r="I15" s="1"/>
      <c r="J15" s="1"/>
      <c r="K15" s="1"/>
      <c r="L15" s="1"/>
      <c r="M15" s="1"/>
      <c r="N15" s="1"/>
      <c r="O15" s="1"/>
    </row>
    <row r="16" spans="1:15" ht="21.75" customHeight="1" x14ac:dyDescent="0.25">
      <c r="A16" s="9" t="s">
        <v>43</v>
      </c>
      <c r="B16" s="63"/>
      <c r="C16" s="63"/>
      <c r="D16" s="63"/>
      <c r="E16" s="63"/>
      <c r="F16" s="63"/>
      <c r="G16" s="1"/>
      <c r="H16" s="1"/>
      <c r="I16" s="1"/>
      <c r="J16" s="1"/>
      <c r="K16" s="1"/>
      <c r="L16" s="1"/>
      <c r="M16" s="1"/>
      <c r="N16" s="1"/>
      <c r="O16" s="1"/>
    </row>
    <row r="17" spans="1:15" ht="21.75" customHeight="1" x14ac:dyDescent="0.25">
      <c r="A17" s="9" t="s">
        <v>44</v>
      </c>
      <c r="B17" s="63"/>
      <c r="C17" s="63"/>
      <c r="D17" s="63"/>
      <c r="E17" s="63"/>
      <c r="F17" s="63"/>
      <c r="G17" s="1"/>
      <c r="H17" s="1"/>
      <c r="I17" s="1"/>
      <c r="J17" s="1"/>
      <c r="K17" s="1"/>
      <c r="L17" s="1"/>
      <c r="M17" s="1"/>
      <c r="N17" s="1"/>
      <c r="O17" s="1"/>
    </row>
    <row r="18" spans="1:15" ht="21.75" customHeight="1" x14ac:dyDescent="0.25">
      <c r="A18" s="9" t="s">
        <v>45</v>
      </c>
      <c r="B18" s="63"/>
      <c r="C18" s="63"/>
      <c r="D18" s="63"/>
      <c r="E18" s="63"/>
      <c r="F18" s="63"/>
      <c r="G18" s="1"/>
      <c r="H18" s="1"/>
      <c r="I18" s="1"/>
      <c r="J18" s="1"/>
      <c r="K18" s="1"/>
      <c r="L18" s="1"/>
      <c r="M18" s="1"/>
      <c r="N18" s="1"/>
      <c r="O18" s="1"/>
    </row>
    <row r="19" spans="1:15" ht="21.75" customHeight="1" x14ac:dyDescent="0.25">
      <c r="A19" s="9" t="s">
        <v>46</v>
      </c>
      <c r="B19" s="63"/>
      <c r="C19" s="63"/>
      <c r="D19" s="63"/>
      <c r="E19" s="63"/>
      <c r="F19" s="63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9" t="s">
        <v>47</v>
      </c>
      <c r="B20" s="64" t="str">
        <f>IFERROR((B19-B18)/B18,"")</f>
        <v/>
      </c>
      <c r="C20" s="64"/>
      <c r="D20" s="64"/>
      <c r="E20" s="64"/>
      <c r="F20" s="64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5" customHeight="1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</sheetData>
  <mergeCells count="25">
    <mergeCell ref="A22:O22"/>
    <mergeCell ref="A14:O14"/>
    <mergeCell ref="A13:O13"/>
    <mergeCell ref="A1:O2"/>
    <mergeCell ref="A3:O3"/>
    <mergeCell ref="A5:G5"/>
    <mergeCell ref="I5:O5"/>
    <mergeCell ref="B6:D6"/>
    <mergeCell ref="J6:L6"/>
    <mergeCell ref="B7:D7"/>
    <mergeCell ref="J7:L7"/>
    <mergeCell ref="B8:D8"/>
    <mergeCell ref="J8:L8"/>
    <mergeCell ref="B9:D9"/>
    <mergeCell ref="J9:L9"/>
    <mergeCell ref="B10:D10"/>
    <mergeCell ref="J10:L10"/>
    <mergeCell ref="B11:D11"/>
    <mergeCell ref="J11:L11"/>
    <mergeCell ref="B18:F18"/>
    <mergeCell ref="B19:F19"/>
    <mergeCell ref="B20:F20"/>
    <mergeCell ref="B15:F15"/>
    <mergeCell ref="B16:F16"/>
    <mergeCell ref="B17:F17"/>
  </mergeCells>
  <dataValidations count="1">
    <dataValidation type="list" allowBlank="1" showErrorMessage="1" errorTitle="Categoría inválida" error="Selecciona una categoría válida de la lista" sqref="B17" xr:uid="{00000000-0002-0000-0100-000000000000}">
      <formula1>"Computadoras,Accesorios,Monitores,Periféricos,Almacenamiento,Audio,Redes,Cables,Tablets,Impresoras,Mobiliario,Energía,Seguridad,Wearables,Iluminación,Streaming,Componentes"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FA3"/>
  </sheetPr>
  <dimension ref="A1:F104"/>
  <sheetViews>
    <sheetView showGridLines="0" zoomScaleNormal="100" workbookViewId="0">
      <pane ySplit="3" topLeftCell="A4" activePane="bottomLeft" state="frozen"/>
      <selection pane="bottomLeft" activeCell="E15" sqref="E15"/>
    </sheetView>
  </sheetViews>
  <sheetFormatPr baseColWidth="10" defaultColWidth="8.7109375" defaultRowHeight="15" x14ac:dyDescent="0.25"/>
  <cols>
    <col min="1" max="1" width="14" customWidth="1"/>
    <col min="2" max="2" width="28" customWidth="1"/>
    <col min="3" max="5" width="18" customWidth="1"/>
    <col min="6" max="6" width="13" customWidth="1"/>
  </cols>
  <sheetData>
    <row r="1" spans="1:6" ht="39.75" customHeight="1" x14ac:dyDescent="0.25">
      <c r="A1" s="72" t="s">
        <v>56</v>
      </c>
      <c r="B1" s="72"/>
      <c r="C1" s="72"/>
      <c r="D1" s="72"/>
      <c r="E1" s="72"/>
      <c r="F1" s="72"/>
    </row>
    <row r="2" spans="1:6" ht="19.5" customHeight="1" x14ac:dyDescent="0.25">
      <c r="A2" s="113" t="s">
        <v>285</v>
      </c>
      <c r="B2" s="60"/>
      <c r="C2" s="60"/>
      <c r="D2" s="60"/>
      <c r="E2" s="60"/>
      <c r="F2" s="60"/>
    </row>
    <row r="3" spans="1:6" ht="30" customHeight="1" x14ac:dyDescent="0.25">
      <c r="A3" s="13" t="s">
        <v>57</v>
      </c>
      <c r="B3" s="13" t="s">
        <v>58</v>
      </c>
      <c r="C3" s="13" t="s">
        <v>13</v>
      </c>
      <c r="D3" s="13" t="s">
        <v>59</v>
      </c>
      <c r="E3" s="13" t="s">
        <v>60</v>
      </c>
      <c r="F3" s="13" t="s">
        <v>61</v>
      </c>
    </row>
    <row r="4" spans="1:6" ht="18" customHeight="1" x14ac:dyDescent="0.25">
      <c r="A4" s="16" t="s">
        <v>62</v>
      </c>
      <c r="B4" s="17" t="s">
        <v>63</v>
      </c>
      <c r="C4" s="18" t="s">
        <v>16</v>
      </c>
      <c r="D4" s="99">
        <v>620</v>
      </c>
      <c r="E4" s="99">
        <v>920</v>
      </c>
      <c r="F4" s="19">
        <f t="shared" ref="F4:F35" si="0">IFERROR((E4-D4)/D4,0)</f>
        <v>0.4838709677419355</v>
      </c>
    </row>
    <row r="5" spans="1:6" ht="18" customHeight="1" x14ac:dyDescent="0.25">
      <c r="A5" s="20" t="s">
        <v>64</v>
      </c>
      <c r="B5" s="21" t="s">
        <v>65</v>
      </c>
      <c r="C5" s="22" t="s">
        <v>16</v>
      </c>
      <c r="D5" s="115">
        <v>540</v>
      </c>
      <c r="E5" s="115">
        <v>820</v>
      </c>
      <c r="F5" s="23">
        <f t="shared" si="0"/>
        <v>0.51851851851851849</v>
      </c>
    </row>
    <row r="6" spans="1:6" ht="18" customHeight="1" x14ac:dyDescent="0.25">
      <c r="A6" s="16" t="s">
        <v>66</v>
      </c>
      <c r="B6" s="17" t="s">
        <v>67</v>
      </c>
      <c r="C6" s="18" t="s">
        <v>16</v>
      </c>
      <c r="D6" s="99">
        <v>780</v>
      </c>
      <c r="E6" s="99">
        <v>1150</v>
      </c>
      <c r="F6" s="19">
        <f t="shared" si="0"/>
        <v>0.47435897435897434</v>
      </c>
    </row>
    <row r="7" spans="1:6" ht="18" customHeight="1" x14ac:dyDescent="0.25">
      <c r="A7" s="20" t="s">
        <v>68</v>
      </c>
      <c r="B7" s="21" t="s">
        <v>69</v>
      </c>
      <c r="C7" s="22" t="s">
        <v>16</v>
      </c>
      <c r="D7" s="115">
        <v>410</v>
      </c>
      <c r="E7" s="115">
        <v>640</v>
      </c>
      <c r="F7" s="23">
        <f t="shared" si="0"/>
        <v>0.56097560975609762</v>
      </c>
    </row>
    <row r="8" spans="1:6" ht="18" customHeight="1" x14ac:dyDescent="0.25">
      <c r="A8" s="16" t="s">
        <v>70</v>
      </c>
      <c r="B8" s="17" t="s">
        <v>71</v>
      </c>
      <c r="C8" s="18" t="s">
        <v>16</v>
      </c>
      <c r="D8" s="99">
        <v>890</v>
      </c>
      <c r="E8" s="99">
        <v>1290</v>
      </c>
      <c r="F8" s="19">
        <f t="shared" si="0"/>
        <v>0.449438202247191</v>
      </c>
    </row>
    <row r="9" spans="1:6" ht="18" customHeight="1" x14ac:dyDescent="0.25">
      <c r="A9" s="20" t="s">
        <v>72</v>
      </c>
      <c r="B9" s="21" t="s">
        <v>73</v>
      </c>
      <c r="C9" s="22" t="s">
        <v>17</v>
      </c>
      <c r="D9" s="115">
        <v>18</v>
      </c>
      <c r="E9" s="115">
        <v>42</v>
      </c>
      <c r="F9" s="23">
        <f t="shared" si="0"/>
        <v>1.3333333333333333</v>
      </c>
    </row>
    <row r="10" spans="1:6" ht="18" customHeight="1" x14ac:dyDescent="0.25">
      <c r="A10" s="16" t="s">
        <v>74</v>
      </c>
      <c r="B10" s="17" t="s">
        <v>75</v>
      </c>
      <c r="C10" s="18" t="s">
        <v>17</v>
      </c>
      <c r="D10" s="99">
        <v>22</v>
      </c>
      <c r="E10" s="99">
        <v>48</v>
      </c>
      <c r="F10" s="19">
        <f t="shared" si="0"/>
        <v>1.1818181818181819</v>
      </c>
    </row>
    <row r="11" spans="1:6" ht="18" customHeight="1" x14ac:dyDescent="0.25">
      <c r="A11" s="20" t="s">
        <v>76</v>
      </c>
      <c r="B11" s="21" t="s">
        <v>77</v>
      </c>
      <c r="C11" s="22" t="s">
        <v>17</v>
      </c>
      <c r="D11" s="115">
        <v>12</v>
      </c>
      <c r="E11" s="115">
        <v>30</v>
      </c>
      <c r="F11" s="23">
        <f t="shared" si="0"/>
        <v>1.5</v>
      </c>
    </row>
    <row r="12" spans="1:6" ht="18" customHeight="1" x14ac:dyDescent="0.25">
      <c r="A12" s="16" t="s">
        <v>78</v>
      </c>
      <c r="B12" s="17" t="s">
        <v>79</v>
      </c>
      <c r="C12" s="18" t="s">
        <v>17</v>
      </c>
      <c r="D12" s="99">
        <v>25</v>
      </c>
      <c r="E12" s="99">
        <v>55</v>
      </c>
      <c r="F12" s="19">
        <f t="shared" si="0"/>
        <v>1.2</v>
      </c>
    </row>
    <row r="13" spans="1:6" ht="18" customHeight="1" x14ac:dyDescent="0.25">
      <c r="A13" s="20" t="s">
        <v>80</v>
      </c>
      <c r="B13" s="21" t="s">
        <v>81</v>
      </c>
      <c r="C13" s="22" t="s">
        <v>17</v>
      </c>
      <c r="D13" s="115">
        <v>19</v>
      </c>
      <c r="E13" s="115">
        <v>40</v>
      </c>
      <c r="F13" s="23">
        <f t="shared" si="0"/>
        <v>1.1052631578947369</v>
      </c>
    </row>
    <row r="14" spans="1:6" ht="18" customHeight="1" x14ac:dyDescent="0.25">
      <c r="A14" s="16" t="s">
        <v>82</v>
      </c>
      <c r="B14" s="17" t="s">
        <v>83</v>
      </c>
      <c r="C14" s="18" t="s">
        <v>17</v>
      </c>
      <c r="D14" s="99">
        <v>45</v>
      </c>
      <c r="E14" s="99">
        <v>95</v>
      </c>
      <c r="F14" s="19">
        <f t="shared" si="0"/>
        <v>1.1111111111111112</v>
      </c>
    </row>
    <row r="15" spans="1:6" ht="18" customHeight="1" x14ac:dyDescent="0.25">
      <c r="A15" s="20" t="s">
        <v>84</v>
      </c>
      <c r="B15" s="21" t="s">
        <v>85</v>
      </c>
      <c r="C15" s="22" t="s">
        <v>17</v>
      </c>
      <c r="D15" s="115">
        <v>48</v>
      </c>
      <c r="E15" s="115">
        <v>99</v>
      </c>
      <c r="F15" s="23">
        <f t="shared" si="0"/>
        <v>1.0625</v>
      </c>
    </row>
    <row r="16" spans="1:6" ht="18" customHeight="1" x14ac:dyDescent="0.25">
      <c r="A16" s="16" t="s">
        <v>86</v>
      </c>
      <c r="B16" s="17" t="s">
        <v>87</v>
      </c>
      <c r="C16" s="18" t="s">
        <v>17</v>
      </c>
      <c r="D16" s="99">
        <v>28</v>
      </c>
      <c r="E16" s="99">
        <v>65</v>
      </c>
      <c r="F16" s="19">
        <f t="shared" si="0"/>
        <v>1.3214285714285714</v>
      </c>
    </row>
    <row r="17" spans="1:6" ht="18" customHeight="1" x14ac:dyDescent="0.25">
      <c r="A17" s="20" t="s">
        <v>88</v>
      </c>
      <c r="B17" s="21" t="s">
        <v>89</v>
      </c>
      <c r="C17" s="22" t="s">
        <v>17</v>
      </c>
      <c r="D17" s="115">
        <v>32</v>
      </c>
      <c r="E17" s="115">
        <v>70</v>
      </c>
      <c r="F17" s="23">
        <f t="shared" si="0"/>
        <v>1.1875</v>
      </c>
    </row>
    <row r="18" spans="1:6" ht="18" customHeight="1" x14ac:dyDescent="0.25">
      <c r="A18" s="16" t="s">
        <v>90</v>
      </c>
      <c r="B18" s="17" t="s">
        <v>91</v>
      </c>
      <c r="C18" s="18" t="s">
        <v>17</v>
      </c>
      <c r="D18" s="99">
        <v>18</v>
      </c>
      <c r="E18" s="99">
        <v>42</v>
      </c>
      <c r="F18" s="19">
        <f t="shared" si="0"/>
        <v>1.3333333333333333</v>
      </c>
    </row>
    <row r="19" spans="1:6" ht="18" customHeight="1" x14ac:dyDescent="0.25">
      <c r="A19" s="20" t="s">
        <v>92</v>
      </c>
      <c r="B19" s="21" t="s">
        <v>93</v>
      </c>
      <c r="C19" s="22" t="s">
        <v>18</v>
      </c>
      <c r="D19" s="115">
        <v>110</v>
      </c>
      <c r="E19" s="115">
        <v>180</v>
      </c>
      <c r="F19" s="23">
        <f t="shared" si="0"/>
        <v>0.63636363636363635</v>
      </c>
    </row>
    <row r="20" spans="1:6" ht="18" customHeight="1" x14ac:dyDescent="0.25">
      <c r="A20" s="16" t="s">
        <v>94</v>
      </c>
      <c r="B20" s="17" t="s">
        <v>95</v>
      </c>
      <c r="C20" s="18" t="s">
        <v>18</v>
      </c>
      <c r="D20" s="99">
        <v>145</v>
      </c>
      <c r="E20" s="99">
        <v>230</v>
      </c>
      <c r="F20" s="19">
        <f t="shared" si="0"/>
        <v>0.58620689655172409</v>
      </c>
    </row>
    <row r="21" spans="1:6" ht="18" customHeight="1" x14ac:dyDescent="0.25">
      <c r="A21" s="20" t="s">
        <v>96</v>
      </c>
      <c r="B21" s="21" t="s">
        <v>97</v>
      </c>
      <c r="C21" s="22" t="s">
        <v>18</v>
      </c>
      <c r="D21" s="115">
        <v>160</v>
      </c>
      <c r="E21" s="115">
        <v>270</v>
      </c>
      <c r="F21" s="23">
        <f t="shared" si="0"/>
        <v>0.6875</v>
      </c>
    </row>
    <row r="22" spans="1:6" ht="18" customHeight="1" x14ac:dyDescent="0.25">
      <c r="A22" s="16" t="s">
        <v>98</v>
      </c>
      <c r="B22" s="17" t="s">
        <v>99</v>
      </c>
      <c r="C22" s="18" t="s">
        <v>18</v>
      </c>
      <c r="D22" s="99">
        <v>220</v>
      </c>
      <c r="E22" s="99">
        <v>360</v>
      </c>
      <c r="F22" s="19">
        <f t="shared" si="0"/>
        <v>0.63636363636363635</v>
      </c>
    </row>
    <row r="23" spans="1:6" ht="18" customHeight="1" x14ac:dyDescent="0.25">
      <c r="A23" s="20" t="s">
        <v>100</v>
      </c>
      <c r="B23" s="21" t="s">
        <v>101</v>
      </c>
      <c r="C23" s="22" t="s">
        <v>18</v>
      </c>
      <c r="D23" s="115">
        <v>260</v>
      </c>
      <c r="E23" s="115">
        <v>420</v>
      </c>
      <c r="F23" s="23">
        <f t="shared" si="0"/>
        <v>0.61538461538461542</v>
      </c>
    </row>
    <row r="24" spans="1:6" ht="18" customHeight="1" x14ac:dyDescent="0.25">
      <c r="A24" s="16" t="s">
        <v>102</v>
      </c>
      <c r="B24" s="17" t="s">
        <v>103</v>
      </c>
      <c r="C24" s="18" t="s">
        <v>19</v>
      </c>
      <c r="D24" s="99">
        <v>25</v>
      </c>
      <c r="E24" s="99">
        <v>55</v>
      </c>
      <c r="F24" s="19">
        <f t="shared" si="0"/>
        <v>1.2</v>
      </c>
    </row>
    <row r="25" spans="1:6" ht="18" customHeight="1" x14ac:dyDescent="0.25">
      <c r="A25" s="20" t="s">
        <v>104</v>
      </c>
      <c r="B25" s="21" t="s">
        <v>105</v>
      </c>
      <c r="C25" s="22" t="s">
        <v>19</v>
      </c>
      <c r="D25" s="115">
        <v>32</v>
      </c>
      <c r="E25" s="115">
        <v>68</v>
      </c>
      <c r="F25" s="23">
        <f t="shared" si="0"/>
        <v>1.125</v>
      </c>
    </row>
    <row r="26" spans="1:6" ht="18" customHeight="1" x14ac:dyDescent="0.25">
      <c r="A26" s="16" t="s">
        <v>106</v>
      </c>
      <c r="B26" s="17" t="s">
        <v>107</v>
      </c>
      <c r="C26" s="18" t="s">
        <v>19</v>
      </c>
      <c r="D26" s="99">
        <v>55</v>
      </c>
      <c r="E26" s="99">
        <v>110</v>
      </c>
      <c r="F26" s="19">
        <f t="shared" si="0"/>
        <v>1</v>
      </c>
    </row>
    <row r="27" spans="1:6" ht="18" customHeight="1" x14ac:dyDescent="0.25">
      <c r="A27" s="20" t="s">
        <v>108</v>
      </c>
      <c r="B27" s="21" t="s">
        <v>109</v>
      </c>
      <c r="C27" s="22" t="s">
        <v>19</v>
      </c>
      <c r="D27" s="115">
        <v>21</v>
      </c>
      <c r="E27" s="115">
        <v>48</v>
      </c>
      <c r="F27" s="23">
        <f t="shared" si="0"/>
        <v>1.2857142857142858</v>
      </c>
    </row>
    <row r="28" spans="1:6" ht="18" customHeight="1" x14ac:dyDescent="0.25">
      <c r="A28" s="16" t="s">
        <v>110</v>
      </c>
      <c r="B28" s="17" t="s">
        <v>111</v>
      </c>
      <c r="C28" s="18" t="s">
        <v>19</v>
      </c>
      <c r="D28" s="99">
        <v>64</v>
      </c>
      <c r="E28" s="99">
        <v>120</v>
      </c>
      <c r="F28" s="19">
        <f t="shared" si="0"/>
        <v>0.875</v>
      </c>
    </row>
    <row r="29" spans="1:6" ht="18" customHeight="1" x14ac:dyDescent="0.25">
      <c r="A29" s="20" t="s">
        <v>112</v>
      </c>
      <c r="B29" s="21" t="s">
        <v>113</v>
      </c>
      <c r="C29" s="22" t="s">
        <v>20</v>
      </c>
      <c r="D29" s="115">
        <v>32</v>
      </c>
      <c r="E29" s="115">
        <v>70</v>
      </c>
      <c r="F29" s="23">
        <f t="shared" si="0"/>
        <v>1.1875</v>
      </c>
    </row>
    <row r="30" spans="1:6" ht="18" customHeight="1" x14ac:dyDescent="0.25">
      <c r="A30" s="16" t="s">
        <v>114</v>
      </c>
      <c r="B30" s="17" t="s">
        <v>115</v>
      </c>
      <c r="C30" s="18" t="s">
        <v>20</v>
      </c>
      <c r="D30" s="99">
        <v>52</v>
      </c>
      <c r="E30" s="99">
        <v>105</v>
      </c>
      <c r="F30" s="19">
        <f t="shared" si="0"/>
        <v>1.0192307692307692</v>
      </c>
    </row>
    <row r="31" spans="1:6" ht="18" customHeight="1" x14ac:dyDescent="0.25">
      <c r="A31" s="20" t="s">
        <v>116</v>
      </c>
      <c r="B31" s="21" t="s">
        <v>117</v>
      </c>
      <c r="C31" s="22" t="s">
        <v>20</v>
      </c>
      <c r="D31" s="115">
        <v>88</v>
      </c>
      <c r="E31" s="115">
        <v>160</v>
      </c>
      <c r="F31" s="23">
        <f t="shared" si="0"/>
        <v>0.81818181818181823</v>
      </c>
    </row>
    <row r="32" spans="1:6" ht="18" customHeight="1" x14ac:dyDescent="0.25">
      <c r="A32" s="16" t="s">
        <v>118</v>
      </c>
      <c r="B32" s="17" t="s">
        <v>119</v>
      </c>
      <c r="C32" s="18" t="s">
        <v>20</v>
      </c>
      <c r="D32" s="99">
        <v>160</v>
      </c>
      <c r="E32" s="99">
        <v>280</v>
      </c>
      <c r="F32" s="19">
        <f t="shared" si="0"/>
        <v>0.75</v>
      </c>
    </row>
    <row r="33" spans="1:6" ht="18" customHeight="1" x14ac:dyDescent="0.25">
      <c r="A33" s="20" t="s">
        <v>120</v>
      </c>
      <c r="B33" s="21" t="s">
        <v>121</v>
      </c>
      <c r="C33" s="22" t="s">
        <v>20</v>
      </c>
      <c r="D33" s="115">
        <v>95</v>
      </c>
      <c r="E33" s="115">
        <v>175</v>
      </c>
      <c r="F33" s="23">
        <f t="shared" si="0"/>
        <v>0.84210526315789469</v>
      </c>
    </row>
    <row r="34" spans="1:6" ht="18" customHeight="1" x14ac:dyDescent="0.25">
      <c r="A34" s="16" t="s">
        <v>122</v>
      </c>
      <c r="B34" s="17" t="s">
        <v>123</v>
      </c>
      <c r="C34" s="18" t="s">
        <v>20</v>
      </c>
      <c r="D34" s="99">
        <v>35</v>
      </c>
      <c r="E34" s="99">
        <v>75</v>
      </c>
      <c r="F34" s="19">
        <f t="shared" si="0"/>
        <v>1.1428571428571428</v>
      </c>
    </row>
    <row r="35" spans="1:6" ht="18" customHeight="1" x14ac:dyDescent="0.25">
      <c r="A35" s="20" t="s">
        <v>124</v>
      </c>
      <c r="B35" s="21" t="s">
        <v>125</v>
      </c>
      <c r="C35" s="22" t="s">
        <v>20</v>
      </c>
      <c r="D35" s="115">
        <v>50</v>
      </c>
      <c r="E35" s="115">
        <v>95</v>
      </c>
      <c r="F35" s="23">
        <f t="shared" si="0"/>
        <v>0.9</v>
      </c>
    </row>
    <row r="36" spans="1:6" ht="18" customHeight="1" x14ac:dyDescent="0.25">
      <c r="A36" s="16" t="s">
        <v>126</v>
      </c>
      <c r="B36" s="17" t="s">
        <v>127</v>
      </c>
      <c r="C36" s="18" t="s">
        <v>20</v>
      </c>
      <c r="D36" s="99">
        <v>85</v>
      </c>
      <c r="E36" s="99">
        <v>150</v>
      </c>
      <c r="F36" s="19">
        <f t="shared" ref="F36:F67" si="1">IFERROR((E36-D36)/D36,0)</f>
        <v>0.76470588235294112</v>
      </c>
    </row>
    <row r="37" spans="1:6" ht="18" customHeight="1" x14ac:dyDescent="0.25">
      <c r="A37" s="20" t="s">
        <v>128</v>
      </c>
      <c r="B37" s="21" t="s">
        <v>129</v>
      </c>
      <c r="C37" s="22" t="s">
        <v>20</v>
      </c>
      <c r="D37" s="115">
        <v>70</v>
      </c>
      <c r="E37" s="115">
        <v>135</v>
      </c>
      <c r="F37" s="23">
        <f t="shared" si="1"/>
        <v>0.9285714285714286</v>
      </c>
    </row>
    <row r="38" spans="1:6" ht="18" customHeight="1" x14ac:dyDescent="0.25">
      <c r="A38" s="16" t="s">
        <v>130</v>
      </c>
      <c r="B38" s="17" t="s">
        <v>131</v>
      </c>
      <c r="C38" s="18" t="s">
        <v>20</v>
      </c>
      <c r="D38" s="99">
        <v>120</v>
      </c>
      <c r="E38" s="99">
        <v>220</v>
      </c>
      <c r="F38" s="19">
        <f t="shared" si="1"/>
        <v>0.83333333333333337</v>
      </c>
    </row>
    <row r="39" spans="1:6" ht="18" customHeight="1" x14ac:dyDescent="0.25">
      <c r="A39" s="20" t="s">
        <v>132</v>
      </c>
      <c r="B39" s="21" t="s">
        <v>133</v>
      </c>
      <c r="C39" s="22" t="s">
        <v>21</v>
      </c>
      <c r="D39" s="115">
        <v>22</v>
      </c>
      <c r="E39" s="115">
        <v>55</v>
      </c>
      <c r="F39" s="23">
        <f t="shared" si="1"/>
        <v>1.5</v>
      </c>
    </row>
    <row r="40" spans="1:6" ht="18" customHeight="1" x14ac:dyDescent="0.25">
      <c r="A40" s="16" t="s">
        <v>134</v>
      </c>
      <c r="B40" s="17" t="s">
        <v>135</v>
      </c>
      <c r="C40" s="18" t="s">
        <v>21</v>
      </c>
      <c r="D40" s="99">
        <v>35</v>
      </c>
      <c r="E40" s="99">
        <v>75</v>
      </c>
      <c r="F40" s="19">
        <f t="shared" si="1"/>
        <v>1.1428571428571428</v>
      </c>
    </row>
    <row r="41" spans="1:6" ht="18" customHeight="1" x14ac:dyDescent="0.25">
      <c r="A41" s="20" t="s">
        <v>136</v>
      </c>
      <c r="B41" s="21" t="s">
        <v>137</v>
      </c>
      <c r="C41" s="22" t="s">
        <v>21</v>
      </c>
      <c r="D41" s="115">
        <v>48</v>
      </c>
      <c r="E41" s="115">
        <v>95</v>
      </c>
      <c r="F41" s="23">
        <f t="shared" si="1"/>
        <v>0.97916666666666663</v>
      </c>
    </row>
    <row r="42" spans="1:6" ht="18" customHeight="1" x14ac:dyDescent="0.25">
      <c r="A42" s="16" t="s">
        <v>138</v>
      </c>
      <c r="B42" s="17" t="s">
        <v>139</v>
      </c>
      <c r="C42" s="18" t="s">
        <v>21</v>
      </c>
      <c r="D42" s="99">
        <v>65</v>
      </c>
      <c r="E42" s="99">
        <v>120</v>
      </c>
      <c r="F42" s="19">
        <f t="shared" si="1"/>
        <v>0.84615384615384615</v>
      </c>
    </row>
    <row r="43" spans="1:6" ht="18" customHeight="1" x14ac:dyDescent="0.25">
      <c r="A43" s="20" t="s">
        <v>140</v>
      </c>
      <c r="B43" s="21" t="s">
        <v>141</v>
      </c>
      <c r="C43" s="22" t="s">
        <v>21</v>
      </c>
      <c r="D43" s="115">
        <v>28</v>
      </c>
      <c r="E43" s="115">
        <v>65</v>
      </c>
      <c r="F43" s="23">
        <f t="shared" si="1"/>
        <v>1.3214285714285714</v>
      </c>
    </row>
    <row r="44" spans="1:6" ht="18" customHeight="1" x14ac:dyDescent="0.25">
      <c r="A44" s="16" t="s">
        <v>142</v>
      </c>
      <c r="B44" s="17" t="s">
        <v>143</v>
      </c>
      <c r="C44" s="18" t="s">
        <v>22</v>
      </c>
      <c r="D44" s="99">
        <v>40</v>
      </c>
      <c r="E44" s="99">
        <v>90</v>
      </c>
      <c r="F44" s="19">
        <f t="shared" si="1"/>
        <v>1.25</v>
      </c>
    </row>
    <row r="45" spans="1:6" ht="18" customHeight="1" x14ac:dyDescent="0.25">
      <c r="A45" s="20" t="s">
        <v>144</v>
      </c>
      <c r="B45" s="21" t="s">
        <v>145</v>
      </c>
      <c r="C45" s="22" t="s">
        <v>22</v>
      </c>
      <c r="D45" s="115">
        <v>70</v>
      </c>
      <c r="E45" s="115">
        <v>150</v>
      </c>
      <c r="F45" s="23">
        <f t="shared" si="1"/>
        <v>1.1428571428571428</v>
      </c>
    </row>
    <row r="46" spans="1:6" ht="18" customHeight="1" x14ac:dyDescent="0.25">
      <c r="A46" s="16" t="s">
        <v>146</v>
      </c>
      <c r="B46" s="17" t="s">
        <v>147</v>
      </c>
      <c r="C46" s="18" t="s">
        <v>22</v>
      </c>
      <c r="D46" s="99">
        <v>65</v>
      </c>
      <c r="E46" s="99">
        <v>135</v>
      </c>
      <c r="F46" s="19">
        <f t="shared" si="1"/>
        <v>1.0769230769230769</v>
      </c>
    </row>
    <row r="47" spans="1:6" ht="18" customHeight="1" x14ac:dyDescent="0.25">
      <c r="A47" s="20" t="s">
        <v>148</v>
      </c>
      <c r="B47" s="21" t="s">
        <v>149</v>
      </c>
      <c r="C47" s="22" t="s">
        <v>22</v>
      </c>
      <c r="D47" s="115">
        <v>25</v>
      </c>
      <c r="E47" s="115">
        <v>60</v>
      </c>
      <c r="F47" s="23">
        <f t="shared" si="1"/>
        <v>1.4</v>
      </c>
    </row>
    <row r="48" spans="1:6" ht="18" customHeight="1" x14ac:dyDescent="0.25">
      <c r="A48" s="16" t="s">
        <v>150</v>
      </c>
      <c r="B48" s="17" t="s">
        <v>151</v>
      </c>
      <c r="C48" s="18" t="s">
        <v>22</v>
      </c>
      <c r="D48" s="99">
        <v>32</v>
      </c>
      <c r="E48" s="99">
        <v>70</v>
      </c>
      <c r="F48" s="19">
        <f t="shared" si="1"/>
        <v>1.1875</v>
      </c>
    </row>
    <row r="49" spans="1:6" ht="18" customHeight="1" x14ac:dyDescent="0.25">
      <c r="A49" s="20" t="s">
        <v>152</v>
      </c>
      <c r="B49" s="21" t="s">
        <v>153</v>
      </c>
      <c r="C49" s="22" t="s">
        <v>23</v>
      </c>
      <c r="D49" s="115">
        <v>4</v>
      </c>
      <c r="E49" s="115">
        <v>15</v>
      </c>
      <c r="F49" s="23">
        <f t="shared" si="1"/>
        <v>2.75</v>
      </c>
    </row>
    <row r="50" spans="1:6" ht="18" customHeight="1" x14ac:dyDescent="0.25">
      <c r="A50" s="16" t="s">
        <v>154</v>
      </c>
      <c r="B50" s="17" t="s">
        <v>155</v>
      </c>
      <c r="C50" s="18" t="s">
        <v>23</v>
      </c>
      <c r="D50" s="99">
        <v>6</v>
      </c>
      <c r="E50" s="99">
        <v>18</v>
      </c>
      <c r="F50" s="19">
        <f t="shared" si="1"/>
        <v>2</v>
      </c>
    </row>
    <row r="51" spans="1:6" ht="18" customHeight="1" x14ac:dyDescent="0.25">
      <c r="A51" s="20" t="s">
        <v>156</v>
      </c>
      <c r="B51" s="21" t="s">
        <v>157</v>
      </c>
      <c r="C51" s="22" t="s">
        <v>23</v>
      </c>
      <c r="D51" s="115">
        <v>5</v>
      </c>
      <c r="E51" s="115">
        <v>16</v>
      </c>
      <c r="F51" s="23">
        <f t="shared" si="1"/>
        <v>2.2000000000000002</v>
      </c>
    </row>
    <row r="52" spans="1:6" ht="18" customHeight="1" x14ac:dyDescent="0.25">
      <c r="A52" s="16" t="s">
        <v>158</v>
      </c>
      <c r="B52" s="17" t="s">
        <v>159</v>
      </c>
      <c r="C52" s="18" t="s">
        <v>23</v>
      </c>
      <c r="D52" s="99">
        <v>3</v>
      </c>
      <c r="E52" s="99">
        <v>12</v>
      </c>
      <c r="F52" s="19">
        <f t="shared" si="1"/>
        <v>3</v>
      </c>
    </row>
    <row r="53" spans="1:6" ht="18" customHeight="1" x14ac:dyDescent="0.25">
      <c r="A53" s="20" t="s">
        <v>160</v>
      </c>
      <c r="B53" s="21" t="s">
        <v>161</v>
      </c>
      <c r="C53" s="22" t="s">
        <v>23</v>
      </c>
      <c r="D53" s="115">
        <v>6</v>
      </c>
      <c r="E53" s="115">
        <v>20</v>
      </c>
      <c r="F53" s="23">
        <f t="shared" si="1"/>
        <v>2.3333333333333335</v>
      </c>
    </row>
    <row r="54" spans="1:6" ht="18" customHeight="1" x14ac:dyDescent="0.25">
      <c r="A54" s="16" t="s">
        <v>162</v>
      </c>
      <c r="B54" s="17" t="s">
        <v>163</v>
      </c>
      <c r="C54" s="18" t="s">
        <v>24</v>
      </c>
      <c r="D54" s="99">
        <v>110</v>
      </c>
      <c r="E54" s="99">
        <v>180</v>
      </c>
      <c r="F54" s="19">
        <f t="shared" si="1"/>
        <v>0.63636363636363635</v>
      </c>
    </row>
    <row r="55" spans="1:6" ht="18" customHeight="1" x14ac:dyDescent="0.25">
      <c r="A55" s="20" t="s">
        <v>164</v>
      </c>
      <c r="B55" s="21" t="s">
        <v>165</v>
      </c>
      <c r="C55" s="22" t="s">
        <v>24</v>
      </c>
      <c r="D55" s="115">
        <v>150</v>
      </c>
      <c r="E55" s="115">
        <v>240</v>
      </c>
      <c r="F55" s="23">
        <f t="shared" si="1"/>
        <v>0.6</v>
      </c>
    </row>
    <row r="56" spans="1:6" ht="18" customHeight="1" x14ac:dyDescent="0.25">
      <c r="A56" s="16" t="s">
        <v>166</v>
      </c>
      <c r="B56" s="17" t="s">
        <v>167</v>
      </c>
      <c r="C56" s="18" t="s">
        <v>24</v>
      </c>
      <c r="D56" s="99">
        <v>210</v>
      </c>
      <c r="E56" s="99">
        <v>340</v>
      </c>
      <c r="F56" s="19">
        <f t="shared" si="1"/>
        <v>0.61904761904761907</v>
      </c>
    </row>
    <row r="57" spans="1:6" ht="18" customHeight="1" x14ac:dyDescent="0.25">
      <c r="A57" s="20" t="s">
        <v>168</v>
      </c>
      <c r="B57" s="21" t="s">
        <v>169</v>
      </c>
      <c r="C57" s="22" t="s">
        <v>24</v>
      </c>
      <c r="D57" s="115">
        <v>95</v>
      </c>
      <c r="E57" s="115">
        <v>160</v>
      </c>
      <c r="F57" s="23">
        <f t="shared" si="1"/>
        <v>0.68421052631578949</v>
      </c>
    </row>
    <row r="58" spans="1:6" ht="18" customHeight="1" x14ac:dyDescent="0.25">
      <c r="A58" s="16" t="s">
        <v>170</v>
      </c>
      <c r="B58" s="17" t="s">
        <v>171</v>
      </c>
      <c r="C58" s="18" t="s">
        <v>24</v>
      </c>
      <c r="D58" s="99">
        <v>260</v>
      </c>
      <c r="E58" s="99">
        <v>420</v>
      </c>
      <c r="F58" s="19">
        <f t="shared" si="1"/>
        <v>0.61538461538461542</v>
      </c>
    </row>
    <row r="59" spans="1:6" ht="18" customHeight="1" x14ac:dyDescent="0.25">
      <c r="A59" s="20" t="s">
        <v>172</v>
      </c>
      <c r="B59" s="21" t="s">
        <v>173</v>
      </c>
      <c r="C59" s="22" t="s">
        <v>25</v>
      </c>
      <c r="D59" s="115">
        <v>65</v>
      </c>
      <c r="E59" s="115">
        <v>140</v>
      </c>
      <c r="F59" s="23">
        <f t="shared" si="1"/>
        <v>1.1538461538461537</v>
      </c>
    </row>
    <row r="60" spans="1:6" ht="18" customHeight="1" x14ac:dyDescent="0.25">
      <c r="A60" s="16" t="s">
        <v>174</v>
      </c>
      <c r="B60" s="17" t="s">
        <v>175</v>
      </c>
      <c r="C60" s="18" t="s">
        <v>25</v>
      </c>
      <c r="D60" s="99">
        <v>120</v>
      </c>
      <c r="E60" s="99">
        <v>240</v>
      </c>
      <c r="F60" s="19">
        <f t="shared" si="1"/>
        <v>1</v>
      </c>
    </row>
    <row r="61" spans="1:6" ht="18" customHeight="1" x14ac:dyDescent="0.25">
      <c r="A61" s="20" t="s">
        <v>176</v>
      </c>
      <c r="B61" s="21" t="s">
        <v>177</v>
      </c>
      <c r="C61" s="22" t="s">
        <v>25</v>
      </c>
      <c r="D61" s="115">
        <v>150</v>
      </c>
      <c r="E61" s="115">
        <v>290</v>
      </c>
      <c r="F61" s="23">
        <f t="shared" si="1"/>
        <v>0.93333333333333335</v>
      </c>
    </row>
    <row r="62" spans="1:6" ht="18" customHeight="1" x14ac:dyDescent="0.25">
      <c r="A62" s="16" t="s">
        <v>178</v>
      </c>
      <c r="B62" s="17" t="s">
        <v>179</v>
      </c>
      <c r="C62" s="18" t="s">
        <v>25</v>
      </c>
      <c r="D62" s="99">
        <v>55</v>
      </c>
      <c r="E62" s="99">
        <v>115</v>
      </c>
      <c r="F62" s="19">
        <f t="shared" si="1"/>
        <v>1.0909090909090908</v>
      </c>
    </row>
    <row r="63" spans="1:6" ht="18" customHeight="1" x14ac:dyDescent="0.25">
      <c r="A63" s="20" t="s">
        <v>180</v>
      </c>
      <c r="B63" s="21" t="s">
        <v>181</v>
      </c>
      <c r="C63" s="22" t="s">
        <v>25</v>
      </c>
      <c r="D63" s="115">
        <v>85</v>
      </c>
      <c r="E63" s="115">
        <v>170</v>
      </c>
      <c r="F63" s="23">
        <f t="shared" si="1"/>
        <v>1</v>
      </c>
    </row>
    <row r="64" spans="1:6" ht="18" customHeight="1" x14ac:dyDescent="0.25">
      <c r="A64" s="16" t="s">
        <v>182</v>
      </c>
      <c r="B64" s="17" t="s">
        <v>183</v>
      </c>
      <c r="C64" s="18" t="s">
        <v>184</v>
      </c>
      <c r="D64" s="99">
        <v>120</v>
      </c>
      <c r="E64" s="99">
        <v>240</v>
      </c>
      <c r="F64" s="19">
        <f t="shared" si="1"/>
        <v>1</v>
      </c>
    </row>
    <row r="65" spans="1:6" ht="18" customHeight="1" x14ac:dyDescent="0.25">
      <c r="A65" s="20" t="s">
        <v>185</v>
      </c>
      <c r="B65" s="21" t="s">
        <v>186</v>
      </c>
      <c r="C65" s="22" t="s">
        <v>184</v>
      </c>
      <c r="D65" s="115">
        <v>95</v>
      </c>
      <c r="E65" s="115">
        <v>190</v>
      </c>
      <c r="F65" s="23">
        <f t="shared" si="1"/>
        <v>1</v>
      </c>
    </row>
    <row r="66" spans="1:6" ht="18" customHeight="1" x14ac:dyDescent="0.25">
      <c r="A66" s="16" t="s">
        <v>187</v>
      </c>
      <c r="B66" s="17" t="s">
        <v>188</v>
      </c>
      <c r="C66" s="18" t="s">
        <v>184</v>
      </c>
      <c r="D66" s="99">
        <v>140</v>
      </c>
      <c r="E66" s="99">
        <v>270</v>
      </c>
      <c r="F66" s="19">
        <f t="shared" si="1"/>
        <v>0.9285714285714286</v>
      </c>
    </row>
    <row r="67" spans="1:6" ht="18" customHeight="1" x14ac:dyDescent="0.25">
      <c r="A67" s="20" t="s">
        <v>189</v>
      </c>
      <c r="B67" s="21" t="s">
        <v>190</v>
      </c>
      <c r="C67" s="22" t="s">
        <v>184</v>
      </c>
      <c r="D67" s="115">
        <v>75</v>
      </c>
      <c r="E67" s="115">
        <v>150</v>
      </c>
      <c r="F67" s="23">
        <f t="shared" si="1"/>
        <v>1</v>
      </c>
    </row>
    <row r="68" spans="1:6" ht="18" customHeight="1" x14ac:dyDescent="0.25">
      <c r="A68" s="16" t="s">
        <v>191</v>
      </c>
      <c r="B68" s="17" t="s">
        <v>192</v>
      </c>
      <c r="C68" s="18" t="s">
        <v>184</v>
      </c>
      <c r="D68" s="99">
        <v>110</v>
      </c>
      <c r="E68" s="99">
        <v>220</v>
      </c>
      <c r="F68" s="19">
        <f t="shared" ref="F68:F99" si="2">IFERROR((E68-D68)/D68,0)</f>
        <v>1</v>
      </c>
    </row>
    <row r="69" spans="1:6" ht="18" customHeight="1" x14ac:dyDescent="0.25">
      <c r="A69" s="20" t="s">
        <v>193</v>
      </c>
      <c r="B69" s="21" t="s">
        <v>194</v>
      </c>
      <c r="C69" s="22" t="s">
        <v>17</v>
      </c>
      <c r="D69" s="115">
        <v>15</v>
      </c>
      <c r="E69" s="115">
        <v>38</v>
      </c>
      <c r="F69" s="23">
        <f t="shared" si="2"/>
        <v>1.5333333333333334</v>
      </c>
    </row>
    <row r="70" spans="1:6" ht="18" customHeight="1" x14ac:dyDescent="0.25">
      <c r="A70" s="16" t="s">
        <v>195</v>
      </c>
      <c r="B70" s="17" t="s">
        <v>196</v>
      </c>
      <c r="C70" s="18" t="s">
        <v>17</v>
      </c>
      <c r="D70" s="99">
        <v>22</v>
      </c>
      <c r="E70" s="99">
        <v>50</v>
      </c>
      <c r="F70" s="19">
        <f t="shared" si="2"/>
        <v>1.2727272727272727</v>
      </c>
    </row>
    <row r="71" spans="1:6" ht="18" customHeight="1" x14ac:dyDescent="0.25">
      <c r="A71" s="20" t="s">
        <v>197</v>
      </c>
      <c r="B71" s="21" t="s">
        <v>198</v>
      </c>
      <c r="C71" s="22" t="s">
        <v>17</v>
      </c>
      <c r="D71" s="115">
        <v>12</v>
      </c>
      <c r="E71" s="115">
        <v>32</v>
      </c>
      <c r="F71" s="23">
        <f t="shared" si="2"/>
        <v>1.6666666666666667</v>
      </c>
    </row>
    <row r="72" spans="1:6" ht="18" customHeight="1" x14ac:dyDescent="0.25">
      <c r="A72" s="16" t="s">
        <v>199</v>
      </c>
      <c r="B72" s="17" t="s">
        <v>200</v>
      </c>
      <c r="C72" s="18" t="s">
        <v>17</v>
      </c>
      <c r="D72" s="99">
        <v>18</v>
      </c>
      <c r="E72" s="99">
        <v>45</v>
      </c>
      <c r="F72" s="19">
        <f t="shared" si="2"/>
        <v>1.5</v>
      </c>
    </row>
    <row r="73" spans="1:6" ht="18" customHeight="1" x14ac:dyDescent="0.25">
      <c r="A73" s="20" t="s">
        <v>201</v>
      </c>
      <c r="B73" s="21" t="s">
        <v>202</v>
      </c>
      <c r="C73" s="22" t="s">
        <v>17</v>
      </c>
      <c r="D73" s="115">
        <v>10</v>
      </c>
      <c r="E73" s="115">
        <v>28</v>
      </c>
      <c r="F73" s="23">
        <f t="shared" si="2"/>
        <v>1.8</v>
      </c>
    </row>
    <row r="74" spans="1:6" ht="18" customHeight="1" x14ac:dyDescent="0.25">
      <c r="A74" s="16" t="s">
        <v>203</v>
      </c>
      <c r="B74" s="17" t="s">
        <v>204</v>
      </c>
      <c r="C74" s="18" t="s">
        <v>205</v>
      </c>
      <c r="D74" s="99">
        <v>14</v>
      </c>
      <c r="E74" s="99">
        <v>38</v>
      </c>
      <c r="F74" s="19">
        <f t="shared" si="2"/>
        <v>1.7142857142857142</v>
      </c>
    </row>
    <row r="75" spans="1:6" ht="18" customHeight="1" x14ac:dyDescent="0.25">
      <c r="A75" s="20" t="s">
        <v>206</v>
      </c>
      <c r="B75" s="21" t="s">
        <v>207</v>
      </c>
      <c r="C75" s="22" t="s">
        <v>205</v>
      </c>
      <c r="D75" s="115">
        <v>20</v>
      </c>
      <c r="E75" s="115">
        <v>50</v>
      </c>
      <c r="F75" s="23">
        <f t="shared" si="2"/>
        <v>1.5</v>
      </c>
    </row>
    <row r="76" spans="1:6" ht="18" customHeight="1" x14ac:dyDescent="0.25">
      <c r="A76" s="16" t="s">
        <v>208</v>
      </c>
      <c r="B76" s="17" t="s">
        <v>209</v>
      </c>
      <c r="C76" s="18" t="s">
        <v>205</v>
      </c>
      <c r="D76" s="99">
        <v>11</v>
      </c>
      <c r="E76" s="99">
        <v>30</v>
      </c>
      <c r="F76" s="19">
        <f t="shared" si="2"/>
        <v>1.7272727272727273</v>
      </c>
    </row>
    <row r="77" spans="1:6" ht="18" customHeight="1" x14ac:dyDescent="0.25">
      <c r="A77" s="20" t="s">
        <v>210</v>
      </c>
      <c r="B77" s="21" t="s">
        <v>211</v>
      </c>
      <c r="C77" s="22" t="s">
        <v>205</v>
      </c>
      <c r="D77" s="115">
        <v>25</v>
      </c>
      <c r="E77" s="115">
        <v>60</v>
      </c>
      <c r="F77" s="23">
        <f t="shared" si="2"/>
        <v>1.4</v>
      </c>
    </row>
    <row r="78" spans="1:6" ht="18" customHeight="1" x14ac:dyDescent="0.25">
      <c r="A78" s="16" t="s">
        <v>212</v>
      </c>
      <c r="B78" s="17" t="s">
        <v>213</v>
      </c>
      <c r="C78" s="18" t="s">
        <v>205</v>
      </c>
      <c r="D78" s="99">
        <v>9</v>
      </c>
      <c r="E78" s="99">
        <v>25</v>
      </c>
      <c r="F78" s="19">
        <f t="shared" si="2"/>
        <v>1.7777777777777777</v>
      </c>
    </row>
    <row r="79" spans="1:6" ht="18" customHeight="1" x14ac:dyDescent="0.25">
      <c r="A79" s="20" t="s">
        <v>214</v>
      </c>
      <c r="B79" s="21" t="s">
        <v>215</v>
      </c>
      <c r="C79" s="22" t="s">
        <v>216</v>
      </c>
      <c r="D79" s="115">
        <v>35</v>
      </c>
      <c r="E79" s="115">
        <v>85</v>
      </c>
      <c r="F79" s="23">
        <f t="shared" si="2"/>
        <v>1.4285714285714286</v>
      </c>
    </row>
    <row r="80" spans="1:6" ht="18" customHeight="1" x14ac:dyDescent="0.25">
      <c r="A80" s="16" t="s">
        <v>217</v>
      </c>
      <c r="B80" s="17" t="s">
        <v>218</v>
      </c>
      <c r="C80" s="18" t="s">
        <v>216</v>
      </c>
      <c r="D80" s="99">
        <v>60</v>
      </c>
      <c r="E80" s="99">
        <v>135</v>
      </c>
      <c r="F80" s="19">
        <f t="shared" si="2"/>
        <v>1.25</v>
      </c>
    </row>
    <row r="81" spans="1:6" ht="18" customHeight="1" x14ac:dyDescent="0.25">
      <c r="A81" s="20" t="s">
        <v>219</v>
      </c>
      <c r="B81" s="21" t="s">
        <v>220</v>
      </c>
      <c r="C81" s="22" t="s">
        <v>216</v>
      </c>
      <c r="D81" s="115">
        <v>18</v>
      </c>
      <c r="E81" s="115">
        <v>45</v>
      </c>
      <c r="F81" s="23">
        <f t="shared" si="2"/>
        <v>1.5</v>
      </c>
    </row>
    <row r="82" spans="1:6" ht="18" customHeight="1" x14ac:dyDescent="0.25">
      <c r="A82" s="16" t="s">
        <v>221</v>
      </c>
      <c r="B82" s="17" t="s">
        <v>222</v>
      </c>
      <c r="C82" s="18" t="s">
        <v>216</v>
      </c>
      <c r="D82" s="99">
        <v>45</v>
      </c>
      <c r="E82" s="99">
        <v>110</v>
      </c>
      <c r="F82" s="19">
        <f t="shared" si="2"/>
        <v>1.4444444444444444</v>
      </c>
    </row>
    <row r="83" spans="1:6" ht="18" customHeight="1" x14ac:dyDescent="0.25">
      <c r="A83" s="20" t="s">
        <v>223</v>
      </c>
      <c r="B83" s="21" t="s">
        <v>224</v>
      </c>
      <c r="C83" s="22" t="s">
        <v>216</v>
      </c>
      <c r="D83" s="115">
        <v>95</v>
      </c>
      <c r="E83" s="115">
        <v>210</v>
      </c>
      <c r="F83" s="23">
        <f t="shared" si="2"/>
        <v>1.2105263157894737</v>
      </c>
    </row>
    <row r="84" spans="1:6" ht="18" customHeight="1" x14ac:dyDescent="0.25">
      <c r="A84" s="16" t="s">
        <v>225</v>
      </c>
      <c r="B84" s="17" t="s">
        <v>226</v>
      </c>
      <c r="C84" s="18" t="s">
        <v>227</v>
      </c>
      <c r="D84" s="99">
        <v>42</v>
      </c>
      <c r="E84" s="99">
        <v>95</v>
      </c>
      <c r="F84" s="19">
        <f t="shared" si="2"/>
        <v>1.2619047619047619</v>
      </c>
    </row>
    <row r="85" spans="1:6" ht="18" customHeight="1" x14ac:dyDescent="0.25">
      <c r="A85" s="20" t="s">
        <v>228</v>
      </c>
      <c r="B85" s="21" t="s">
        <v>229</v>
      </c>
      <c r="C85" s="22" t="s">
        <v>227</v>
      </c>
      <c r="D85" s="115">
        <v>85</v>
      </c>
      <c r="E85" s="115">
        <v>180</v>
      </c>
      <c r="F85" s="23">
        <f t="shared" si="2"/>
        <v>1.1176470588235294</v>
      </c>
    </row>
    <row r="86" spans="1:6" ht="18" customHeight="1" x14ac:dyDescent="0.25">
      <c r="A86" s="16" t="s">
        <v>230</v>
      </c>
      <c r="B86" s="17" t="s">
        <v>231</v>
      </c>
      <c r="C86" s="18" t="s">
        <v>227</v>
      </c>
      <c r="D86" s="99">
        <v>28</v>
      </c>
      <c r="E86" s="99">
        <v>65</v>
      </c>
      <c r="F86" s="19">
        <f t="shared" si="2"/>
        <v>1.3214285714285714</v>
      </c>
    </row>
    <row r="87" spans="1:6" ht="18" customHeight="1" x14ac:dyDescent="0.25">
      <c r="A87" s="20" t="s">
        <v>232</v>
      </c>
      <c r="B87" s="21" t="s">
        <v>233</v>
      </c>
      <c r="C87" s="22" t="s">
        <v>227</v>
      </c>
      <c r="D87" s="115">
        <v>70</v>
      </c>
      <c r="E87" s="115">
        <v>150</v>
      </c>
      <c r="F87" s="23">
        <f t="shared" si="2"/>
        <v>1.1428571428571428</v>
      </c>
    </row>
    <row r="88" spans="1:6" ht="18" customHeight="1" x14ac:dyDescent="0.25">
      <c r="A88" s="16" t="s">
        <v>234</v>
      </c>
      <c r="B88" s="17" t="s">
        <v>235</v>
      </c>
      <c r="C88" s="18" t="s">
        <v>227</v>
      </c>
      <c r="D88" s="99">
        <v>110</v>
      </c>
      <c r="E88" s="99">
        <v>240</v>
      </c>
      <c r="F88" s="19">
        <f t="shared" si="2"/>
        <v>1.1818181818181819</v>
      </c>
    </row>
    <row r="89" spans="1:6" ht="18" customHeight="1" x14ac:dyDescent="0.25">
      <c r="A89" s="20" t="s">
        <v>236</v>
      </c>
      <c r="B89" s="21" t="s">
        <v>237</v>
      </c>
      <c r="C89" s="22" t="s">
        <v>238</v>
      </c>
      <c r="D89" s="115">
        <v>12</v>
      </c>
      <c r="E89" s="115">
        <v>35</v>
      </c>
      <c r="F89" s="23">
        <f t="shared" si="2"/>
        <v>1.9166666666666667</v>
      </c>
    </row>
    <row r="90" spans="1:6" ht="18" customHeight="1" x14ac:dyDescent="0.25">
      <c r="A90" s="16" t="s">
        <v>239</v>
      </c>
      <c r="B90" s="17" t="s">
        <v>240</v>
      </c>
      <c r="C90" s="18" t="s">
        <v>238</v>
      </c>
      <c r="D90" s="99">
        <v>20</v>
      </c>
      <c r="E90" s="99">
        <v>50</v>
      </c>
      <c r="F90" s="19">
        <f t="shared" si="2"/>
        <v>1.5</v>
      </c>
    </row>
    <row r="91" spans="1:6" ht="18" customHeight="1" x14ac:dyDescent="0.25">
      <c r="A91" s="20" t="s">
        <v>241</v>
      </c>
      <c r="B91" s="21" t="s">
        <v>242</v>
      </c>
      <c r="C91" s="22" t="s">
        <v>238</v>
      </c>
      <c r="D91" s="115">
        <v>18</v>
      </c>
      <c r="E91" s="115">
        <v>45</v>
      </c>
      <c r="F91" s="23">
        <f t="shared" si="2"/>
        <v>1.5</v>
      </c>
    </row>
    <row r="92" spans="1:6" ht="18" customHeight="1" x14ac:dyDescent="0.25">
      <c r="A92" s="16" t="s">
        <v>243</v>
      </c>
      <c r="B92" s="17" t="s">
        <v>244</v>
      </c>
      <c r="C92" s="18" t="s">
        <v>238</v>
      </c>
      <c r="D92" s="99">
        <v>25</v>
      </c>
      <c r="E92" s="99">
        <v>60</v>
      </c>
      <c r="F92" s="19">
        <f t="shared" si="2"/>
        <v>1.4</v>
      </c>
    </row>
    <row r="93" spans="1:6" ht="18" customHeight="1" x14ac:dyDescent="0.25">
      <c r="A93" s="20" t="s">
        <v>245</v>
      </c>
      <c r="B93" s="21" t="s">
        <v>246</v>
      </c>
      <c r="C93" s="22" t="s">
        <v>238</v>
      </c>
      <c r="D93" s="115">
        <v>55</v>
      </c>
      <c r="E93" s="115">
        <v>120</v>
      </c>
      <c r="F93" s="23">
        <f t="shared" si="2"/>
        <v>1.1818181818181819</v>
      </c>
    </row>
    <row r="94" spans="1:6" ht="18" customHeight="1" x14ac:dyDescent="0.25">
      <c r="A94" s="16" t="s">
        <v>247</v>
      </c>
      <c r="B94" s="17" t="s">
        <v>248</v>
      </c>
      <c r="C94" s="18" t="s">
        <v>249</v>
      </c>
      <c r="D94" s="99">
        <v>32</v>
      </c>
      <c r="E94" s="99">
        <v>75</v>
      </c>
      <c r="F94" s="19">
        <f t="shared" si="2"/>
        <v>1.34375</v>
      </c>
    </row>
    <row r="95" spans="1:6" ht="18" customHeight="1" x14ac:dyDescent="0.25">
      <c r="A95" s="20" t="s">
        <v>250</v>
      </c>
      <c r="B95" s="21" t="s">
        <v>251</v>
      </c>
      <c r="C95" s="22" t="s">
        <v>249</v>
      </c>
      <c r="D95" s="115">
        <v>70</v>
      </c>
      <c r="E95" s="115">
        <v>150</v>
      </c>
      <c r="F95" s="23">
        <f t="shared" si="2"/>
        <v>1.1428571428571428</v>
      </c>
    </row>
    <row r="96" spans="1:6" ht="18" customHeight="1" x14ac:dyDescent="0.25">
      <c r="A96" s="16" t="s">
        <v>252</v>
      </c>
      <c r="B96" s="17" t="s">
        <v>253</v>
      </c>
      <c r="C96" s="18" t="s">
        <v>249</v>
      </c>
      <c r="D96" s="99">
        <v>18</v>
      </c>
      <c r="E96" s="99">
        <v>48</v>
      </c>
      <c r="F96" s="19">
        <f t="shared" si="2"/>
        <v>1.6666666666666667</v>
      </c>
    </row>
    <row r="97" spans="1:6" ht="18" customHeight="1" x14ac:dyDescent="0.25">
      <c r="A97" s="20" t="s">
        <v>254</v>
      </c>
      <c r="B97" s="21" t="s">
        <v>255</v>
      </c>
      <c r="C97" s="22" t="s">
        <v>249</v>
      </c>
      <c r="D97" s="115">
        <v>95</v>
      </c>
      <c r="E97" s="115">
        <v>210</v>
      </c>
      <c r="F97" s="23">
        <f t="shared" si="2"/>
        <v>1.2105263157894737</v>
      </c>
    </row>
    <row r="98" spans="1:6" ht="18" customHeight="1" x14ac:dyDescent="0.25">
      <c r="A98" s="16" t="s">
        <v>256</v>
      </c>
      <c r="B98" s="17" t="s">
        <v>257</v>
      </c>
      <c r="C98" s="18" t="s">
        <v>249</v>
      </c>
      <c r="D98" s="99">
        <v>85</v>
      </c>
      <c r="E98" s="99">
        <v>175</v>
      </c>
      <c r="F98" s="19">
        <f t="shared" si="2"/>
        <v>1.0588235294117647</v>
      </c>
    </row>
    <row r="99" spans="1:6" ht="18" customHeight="1" x14ac:dyDescent="0.25">
      <c r="A99" s="20" t="s">
        <v>258</v>
      </c>
      <c r="B99" s="21" t="s">
        <v>259</v>
      </c>
      <c r="C99" s="22" t="s">
        <v>49</v>
      </c>
      <c r="D99" s="115">
        <v>180</v>
      </c>
      <c r="E99" s="115">
        <v>310</v>
      </c>
      <c r="F99" s="23">
        <f t="shared" si="2"/>
        <v>0.72222222222222221</v>
      </c>
    </row>
    <row r="100" spans="1:6" ht="18" customHeight="1" x14ac:dyDescent="0.25">
      <c r="A100" s="16" t="s">
        <v>260</v>
      </c>
      <c r="B100" s="17" t="s">
        <v>261</v>
      </c>
      <c r="C100" s="18" t="s">
        <v>49</v>
      </c>
      <c r="D100" s="99">
        <v>320</v>
      </c>
      <c r="E100" s="99">
        <v>520</v>
      </c>
      <c r="F100" s="19">
        <f t="shared" ref="F100:F103" si="3">IFERROR((E100-D100)/D100,0)</f>
        <v>0.625</v>
      </c>
    </row>
    <row r="101" spans="1:6" ht="18" customHeight="1" x14ac:dyDescent="0.25">
      <c r="A101" s="20" t="s">
        <v>262</v>
      </c>
      <c r="B101" s="21" t="s">
        <v>263</v>
      </c>
      <c r="C101" s="22" t="s">
        <v>49</v>
      </c>
      <c r="D101" s="115">
        <v>45</v>
      </c>
      <c r="E101" s="115">
        <v>95</v>
      </c>
      <c r="F101" s="23">
        <f t="shared" si="3"/>
        <v>1.1111111111111112</v>
      </c>
    </row>
    <row r="102" spans="1:6" ht="18" customHeight="1" x14ac:dyDescent="0.25">
      <c r="A102" s="16" t="s">
        <v>264</v>
      </c>
      <c r="B102" s="17" t="s">
        <v>265</v>
      </c>
      <c r="C102" s="18" t="s">
        <v>49</v>
      </c>
      <c r="D102" s="99">
        <v>82</v>
      </c>
      <c r="E102" s="99">
        <v>165</v>
      </c>
      <c r="F102" s="19">
        <f t="shared" si="3"/>
        <v>1.0121951219512195</v>
      </c>
    </row>
    <row r="103" spans="1:6" ht="18" customHeight="1" x14ac:dyDescent="0.25">
      <c r="A103" s="16" t="s">
        <v>266</v>
      </c>
      <c r="B103" s="21" t="s">
        <v>267</v>
      </c>
      <c r="C103" s="22" t="s">
        <v>49</v>
      </c>
      <c r="D103" s="115">
        <v>210</v>
      </c>
      <c r="E103" s="115">
        <v>360</v>
      </c>
      <c r="F103" s="23">
        <f t="shared" si="3"/>
        <v>0.7142857142857143</v>
      </c>
    </row>
    <row r="104" spans="1:6" ht="21.75" customHeight="1" x14ac:dyDescent="0.25">
      <c r="A104" s="74" t="s">
        <v>268</v>
      </c>
      <c r="B104" s="74"/>
      <c r="C104" s="74"/>
      <c r="D104" s="24">
        <f>AVERAGE(D4:D103)</f>
        <v>96.91</v>
      </c>
      <c r="E104" s="24">
        <f>AVERAGE(E4:E103)</f>
        <v>172.22</v>
      </c>
      <c r="F104" s="25">
        <f>AVERAGE(F4:F103)</f>
        <v>1.1690653892407787</v>
      </c>
    </row>
  </sheetData>
  <mergeCells count="3">
    <mergeCell ref="A1:F1"/>
    <mergeCell ref="A2:F2"/>
    <mergeCell ref="A104:C10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</sheetPr>
  <dimension ref="A1:F104"/>
  <sheetViews>
    <sheetView showGridLines="0" zoomScaleNormal="100" workbookViewId="0">
      <pane ySplit="3" topLeftCell="A83" activePane="bottomLeft" state="frozen"/>
      <selection pane="bottomLeft" activeCell="A2" sqref="A2:F2"/>
    </sheetView>
  </sheetViews>
  <sheetFormatPr baseColWidth="10" defaultColWidth="8.7109375" defaultRowHeight="15" x14ac:dyDescent="0.25"/>
  <cols>
    <col min="1" max="1" width="16" customWidth="1"/>
    <col min="2" max="2" width="14" customWidth="1"/>
    <col min="3" max="3" width="28" customWidth="1"/>
    <col min="4" max="4" width="12" customWidth="1"/>
    <col min="5" max="5" width="26.28515625" customWidth="1"/>
    <col min="6" max="6" width="20" customWidth="1"/>
  </cols>
  <sheetData>
    <row r="1" spans="1:6" ht="39.75" customHeight="1" x14ac:dyDescent="0.25">
      <c r="A1" s="72" t="s">
        <v>269</v>
      </c>
      <c r="B1" s="72"/>
      <c r="C1" s="72"/>
      <c r="D1" s="72"/>
      <c r="E1" s="72"/>
      <c r="F1" s="72"/>
    </row>
    <row r="2" spans="1:6" ht="19.5" customHeight="1" x14ac:dyDescent="0.25">
      <c r="A2" s="116" t="s">
        <v>285</v>
      </c>
      <c r="B2" s="77"/>
      <c r="C2" s="77"/>
      <c r="D2" s="77"/>
      <c r="E2" s="77"/>
      <c r="F2" s="77"/>
    </row>
    <row r="3" spans="1:6" ht="30" customHeight="1" x14ac:dyDescent="0.25">
      <c r="A3" s="13" t="s">
        <v>270</v>
      </c>
      <c r="B3" s="13" t="s">
        <v>57</v>
      </c>
      <c r="C3" s="13" t="s">
        <v>58</v>
      </c>
      <c r="D3" s="13" t="s">
        <v>271</v>
      </c>
      <c r="E3" s="13" t="s">
        <v>59</v>
      </c>
      <c r="F3" s="13" t="s">
        <v>272</v>
      </c>
    </row>
    <row r="4" spans="1:6" ht="18" customHeight="1" x14ac:dyDescent="0.25">
      <c r="A4" s="26">
        <v>46023</v>
      </c>
      <c r="B4" s="27" t="s">
        <v>62</v>
      </c>
      <c r="C4" s="17" t="str">
        <f>IFERROR(VLOOKUP(B4,Productos!$A:$B,2,0),"")</f>
        <v>Laptop X1</v>
      </c>
      <c r="D4" s="27">
        <v>12</v>
      </c>
      <c r="E4" s="109">
        <f>IFERROR(VLOOKUP(B4,Productos!$A:$D,4,0),"")</f>
        <v>620</v>
      </c>
      <c r="F4" s="109">
        <f t="shared" ref="F4:F35" si="0">IFERROR(D4*E4,"")</f>
        <v>7440</v>
      </c>
    </row>
    <row r="5" spans="1:6" ht="18" customHeight="1" x14ac:dyDescent="0.25">
      <c r="A5" s="29">
        <v>46024</v>
      </c>
      <c r="B5" s="30" t="s">
        <v>64</v>
      </c>
      <c r="C5" s="21" t="str">
        <f>IFERROR(VLOOKUP(B5,Productos!$A:$B,2,0),"")</f>
        <v>Laptop AirLite</v>
      </c>
      <c r="D5" s="30">
        <v>8</v>
      </c>
      <c r="E5" s="110">
        <f>IFERROR(VLOOKUP(B5,Productos!$A:$D,4,0),"")</f>
        <v>540</v>
      </c>
      <c r="F5" s="110">
        <f t="shared" si="0"/>
        <v>4320</v>
      </c>
    </row>
    <row r="6" spans="1:6" ht="18" customHeight="1" x14ac:dyDescent="0.25">
      <c r="A6" s="26">
        <v>46025</v>
      </c>
      <c r="B6" s="27" t="s">
        <v>66</v>
      </c>
      <c r="C6" s="17" t="str">
        <f>IFERROR(VLOOKUP(B6,Productos!$A:$B,2,0),"")</f>
        <v>Laptop ProMax</v>
      </c>
      <c r="D6" s="27">
        <v>6</v>
      </c>
      <c r="E6" s="109">
        <f>IFERROR(VLOOKUP(B6,Productos!$A:$D,4,0),"")</f>
        <v>780</v>
      </c>
      <c r="F6" s="109">
        <f t="shared" si="0"/>
        <v>4680</v>
      </c>
    </row>
    <row r="7" spans="1:6" ht="18" customHeight="1" x14ac:dyDescent="0.25">
      <c r="A7" s="29">
        <v>46026</v>
      </c>
      <c r="B7" s="30" t="s">
        <v>68</v>
      </c>
      <c r="C7" s="21" t="str">
        <f>IFERROR(VLOOKUP(B7,Productos!$A:$B,2,0),"")</f>
        <v>Mini Laptop Go</v>
      </c>
      <c r="D7" s="30">
        <v>10</v>
      </c>
      <c r="E7" s="110">
        <f>IFERROR(VLOOKUP(B7,Productos!$A:$D,4,0),"")</f>
        <v>410</v>
      </c>
      <c r="F7" s="110">
        <f t="shared" si="0"/>
        <v>4100</v>
      </c>
    </row>
    <row r="8" spans="1:6" ht="18" customHeight="1" x14ac:dyDescent="0.25">
      <c r="A8" s="26">
        <v>46027</v>
      </c>
      <c r="B8" s="27" t="s">
        <v>70</v>
      </c>
      <c r="C8" s="17" t="str">
        <f>IFERROR(VLOOKUP(B8,Productos!$A:$B,2,0),"")</f>
        <v>Laptop Studio</v>
      </c>
      <c r="D8" s="27">
        <v>5</v>
      </c>
      <c r="E8" s="109">
        <f>IFERROR(VLOOKUP(B8,Productos!$A:$D,4,0),"")</f>
        <v>890</v>
      </c>
      <c r="F8" s="109">
        <f t="shared" si="0"/>
        <v>4450</v>
      </c>
    </row>
    <row r="9" spans="1:6" ht="18" customHeight="1" x14ac:dyDescent="0.25">
      <c r="A9" s="29">
        <v>46028</v>
      </c>
      <c r="B9" s="30" t="s">
        <v>72</v>
      </c>
      <c r="C9" s="21" t="str">
        <f>IFERROR(VLOOKUP(B9,Productos!$A:$B,2,0),"")</f>
        <v>Mouse Gamer RGB</v>
      </c>
      <c r="D9" s="30">
        <v>30</v>
      </c>
      <c r="E9" s="110">
        <f>IFERROR(VLOOKUP(B9,Productos!$A:$D,4,0),"")</f>
        <v>18</v>
      </c>
      <c r="F9" s="110">
        <f t="shared" si="0"/>
        <v>540</v>
      </c>
    </row>
    <row r="10" spans="1:6" ht="18" customHeight="1" x14ac:dyDescent="0.25">
      <c r="A10" s="26">
        <v>46029</v>
      </c>
      <c r="B10" s="27" t="s">
        <v>74</v>
      </c>
      <c r="C10" s="17" t="str">
        <f>IFERROR(VLOOKUP(B10,Productos!$A:$B,2,0),"")</f>
        <v>Mouse Wireless Pro</v>
      </c>
      <c r="D10" s="27">
        <v>25</v>
      </c>
      <c r="E10" s="109">
        <f>IFERROR(VLOOKUP(B10,Productos!$A:$D,4,0),"")</f>
        <v>22</v>
      </c>
      <c r="F10" s="109">
        <f t="shared" si="0"/>
        <v>550</v>
      </c>
    </row>
    <row r="11" spans="1:6" ht="18" customHeight="1" x14ac:dyDescent="0.25">
      <c r="A11" s="29">
        <v>46030</v>
      </c>
      <c r="B11" s="30" t="s">
        <v>76</v>
      </c>
      <c r="C11" s="21" t="str">
        <f>IFERROR(VLOOKUP(B11,Productos!$A:$B,2,0),"")</f>
        <v>Mouse Office Silent</v>
      </c>
      <c r="D11" s="30">
        <v>40</v>
      </c>
      <c r="E11" s="110">
        <f>IFERROR(VLOOKUP(B11,Productos!$A:$D,4,0),"")</f>
        <v>12</v>
      </c>
      <c r="F11" s="110">
        <f t="shared" si="0"/>
        <v>480</v>
      </c>
    </row>
    <row r="12" spans="1:6" ht="18" customHeight="1" x14ac:dyDescent="0.25">
      <c r="A12" s="26">
        <v>46031</v>
      </c>
      <c r="B12" s="27" t="s">
        <v>78</v>
      </c>
      <c r="C12" s="17" t="str">
        <f>IFERROR(VLOOKUP(B12,Productos!$A:$B,2,0),"")</f>
        <v>Mouse UltraLight</v>
      </c>
      <c r="D12" s="27">
        <v>18</v>
      </c>
      <c r="E12" s="109">
        <f>IFERROR(VLOOKUP(B12,Productos!$A:$D,4,0),"")</f>
        <v>25</v>
      </c>
      <c r="F12" s="109">
        <f t="shared" si="0"/>
        <v>450</v>
      </c>
    </row>
    <row r="13" spans="1:6" ht="18" customHeight="1" x14ac:dyDescent="0.25">
      <c r="A13" s="29">
        <v>46032</v>
      </c>
      <c r="B13" s="30" t="s">
        <v>80</v>
      </c>
      <c r="C13" s="21" t="str">
        <f>IFERROR(VLOOKUP(B13,Productos!$A:$B,2,0),"")</f>
        <v>Mouse Precision</v>
      </c>
      <c r="D13" s="30">
        <v>22</v>
      </c>
      <c r="E13" s="110">
        <f>IFERROR(VLOOKUP(B13,Productos!$A:$D,4,0),"")</f>
        <v>19</v>
      </c>
      <c r="F13" s="110">
        <f t="shared" si="0"/>
        <v>418</v>
      </c>
    </row>
    <row r="14" spans="1:6" ht="18" customHeight="1" x14ac:dyDescent="0.25">
      <c r="A14" s="26">
        <v>46033</v>
      </c>
      <c r="B14" s="27" t="s">
        <v>82</v>
      </c>
      <c r="C14" s="17" t="str">
        <f>IFERROR(VLOOKUP(B14,Productos!$A:$B,2,0),"")</f>
        <v>Teclado Mecánico Red</v>
      </c>
      <c r="D14" s="27">
        <v>14</v>
      </c>
      <c r="E14" s="109">
        <f>IFERROR(VLOOKUP(B14,Productos!$A:$D,4,0),"")</f>
        <v>45</v>
      </c>
      <c r="F14" s="109">
        <f t="shared" si="0"/>
        <v>630</v>
      </c>
    </row>
    <row r="15" spans="1:6" ht="18" customHeight="1" x14ac:dyDescent="0.25">
      <c r="A15" s="29">
        <v>46034</v>
      </c>
      <c r="B15" s="30" t="s">
        <v>84</v>
      </c>
      <c r="C15" s="21" t="str">
        <f>IFERROR(VLOOKUP(B15,Productos!$A:$B,2,0),"")</f>
        <v>Teclado Mecánico Blue</v>
      </c>
      <c r="D15" s="30">
        <v>16</v>
      </c>
      <c r="E15" s="110">
        <f>IFERROR(VLOOKUP(B15,Productos!$A:$D,4,0),"")</f>
        <v>48</v>
      </c>
      <c r="F15" s="110">
        <f t="shared" si="0"/>
        <v>768</v>
      </c>
    </row>
    <row r="16" spans="1:6" ht="18" customHeight="1" x14ac:dyDescent="0.25">
      <c r="A16" s="26">
        <v>46035</v>
      </c>
      <c r="B16" s="27" t="s">
        <v>86</v>
      </c>
      <c r="C16" s="17" t="str">
        <f>IFERROR(VLOOKUP(B16,Productos!$A:$B,2,0),"")</f>
        <v>Teclado Compacto</v>
      </c>
      <c r="D16" s="27">
        <v>20</v>
      </c>
      <c r="E16" s="109">
        <f>IFERROR(VLOOKUP(B16,Productos!$A:$D,4,0),"")</f>
        <v>28</v>
      </c>
      <c r="F16" s="109">
        <f t="shared" si="0"/>
        <v>560</v>
      </c>
    </row>
    <row r="17" spans="1:6" ht="18" customHeight="1" x14ac:dyDescent="0.25">
      <c r="A17" s="29">
        <v>46036</v>
      </c>
      <c r="B17" s="30" t="s">
        <v>88</v>
      </c>
      <c r="C17" s="21" t="str">
        <f>IFERROR(VLOOKUP(B17,Productos!$A:$B,2,0),"")</f>
        <v>Teclado Wireless Slim</v>
      </c>
      <c r="D17" s="30">
        <v>17</v>
      </c>
      <c r="E17" s="110">
        <f>IFERROR(VLOOKUP(B17,Productos!$A:$D,4,0),"")</f>
        <v>32</v>
      </c>
      <c r="F17" s="110">
        <f t="shared" si="0"/>
        <v>544</v>
      </c>
    </row>
    <row r="18" spans="1:6" ht="18" customHeight="1" x14ac:dyDescent="0.25">
      <c r="A18" s="26">
        <v>46037</v>
      </c>
      <c r="B18" s="27" t="s">
        <v>90</v>
      </c>
      <c r="C18" s="17" t="str">
        <f>IFERROR(VLOOKUP(B18,Productos!$A:$B,2,0),"")</f>
        <v>Teclado Office Basic</v>
      </c>
      <c r="D18" s="27">
        <v>21</v>
      </c>
      <c r="E18" s="109">
        <f>IFERROR(VLOOKUP(B18,Productos!$A:$D,4,0),"")</f>
        <v>18</v>
      </c>
      <c r="F18" s="109">
        <f t="shared" si="0"/>
        <v>378</v>
      </c>
    </row>
    <row r="19" spans="1:6" ht="18" customHeight="1" x14ac:dyDescent="0.25">
      <c r="A19" s="29">
        <v>46038</v>
      </c>
      <c r="B19" s="30" t="s">
        <v>92</v>
      </c>
      <c r="C19" s="21" t="str">
        <f>IFERROR(VLOOKUP(B19,Productos!$A:$B,2,0),"")</f>
        <v>Monitor 24HD</v>
      </c>
      <c r="D19" s="30">
        <v>9</v>
      </c>
      <c r="E19" s="110">
        <f>IFERROR(VLOOKUP(B19,Productos!$A:$D,4,0),"")</f>
        <v>110</v>
      </c>
      <c r="F19" s="110">
        <f t="shared" si="0"/>
        <v>990</v>
      </c>
    </row>
    <row r="20" spans="1:6" ht="18" customHeight="1" x14ac:dyDescent="0.25">
      <c r="A20" s="26">
        <v>46039</v>
      </c>
      <c r="B20" s="27" t="s">
        <v>94</v>
      </c>
      <c r="C20" s="17" t="str">
        <f>IFERROR(VLOOKUP(B20,Productos!$A:$B,2,0),"")</f>
        <v>Monitor 27HD</v>
      </c>
      <c r="D20" s="27">
        <v>7</v>
      </c>
      <c r="E20" s="109">
        <f>IFERROR(VLOOKUP(B20,Productos!$A:$D,4,0),"")</f>
        <v>145</v>
      </c>
      <c r="F20" s="109">
        <f t="shared" si="0"/>
        <v>1015</v>
      </c>
    </row>
    <row r="21" spans="1:6" ht="18" customHeight="1" x14ac:dyDescent="0.25">
      <c r="A21" s="29">
        <v>46040</v>
      </c>
      <c r="B21" s="30" t="s">
        <v>96</v>
      </c>
      <c r="C21" s="21" t="str">
        <f>IFERROR(VLOOKUP(B21,Productos!$A:$B,2,0),"")</f>
        <v>Monitor 24 Gaming</v>
      </c>
      <c r="D21" s="30">
        <v>8</v>
      </c>
      <c r="E21" s="110">
        <f>IFERROR(VLOOKUP(B21,Productos!$A:$D,4,0),"")</f>
        <v>160</v>
      </c>
      <c r="F21" s="110">
        <f t="shared" si="0"/>
        <v>1280</v>
      </c>
    </row>
    <row r="22" spans="1:6" ht="18" customHeight="1" x14ac:dyDescent="0.25">
      <c r="A22" s="26">
        <v>46041</v>
      </c>
      <c r="B22" s="27" t="s">
        <v>98</v>
      </c>
      <c r="C22" s="17" t="str">
        <f>IFERROR(VLOOKUP(B22,Productos!$A:$B,2,0),"")</f>
        <v>Monitor 32 Curvo</v>
      </c>
      <c r="D22" s="27">
        <v>6</v>
      </c>
      <c r="E22" s="109">
        <f>IFERROR(VLOOKUP(B22,Productos!$A:$D,4,0),"")</f>
        <v>220</v>
      </c>
      <c r="F22" s="109">
        <f t="shared" si="0"/>
        <v>1320</v>
      </c>
    </row>
    <row r="23" spans="1:6" ht="18" customHeight="1" x14ac:dyDescent="0.25">
      <c r="A23" s="29">
        <v>46042</v>
      </c>
      <c r="B23" s="30" t="s">
        <v>100</v>
      </c>
      <c r="C23" s="21" t="str">
        <f>IFERROR(VLOOKUP(B23,Productos!$A:$B,2,0),"")</f>
        <v>Monitor UltraWide</v>
      </c>
      <c r="D23" s="30">
        <v>5</v>
      </c>
      <c r="E23" s="110">
        <f>IFERROR(VLOOKUP(B23,Productos!$A:$D,4,0),"")</f>
        <v>260</v>
      </c>
      <c r="F23" s="110">
        <f t="shared" si="0"/>
        <v>1300</v>
      </c>
    </row>
    <row r="24" spans="1:6" ht="18" customHeight="1" x14ac:dyDescent="0.25">
      <c r="A24" s="26">
        <v>46043</v>
      </c>
      <c r="B24" s="27" t="s">
        <v>102</v>
      </c>
      <c r="C24" s="17" t="str">
        <f>IFERROR(VLOOKUP(B24,Productos!$A:$B,2,0),"")</f>
        <v>Webcam HD</v>
      </c>
      <c r="D24" s="27">
        <v>26</v>
      </c>
      <c r="E24" s="109">
        <f>IFERROR(VLOOKUP(B24,Productos!$A:$D,4,0),"")</f>
        <v>25</v>
      </c>
      <c r="F24" s="109">
        <f t="shared" si="0"/>
        <v>650</v>
      </c>
    </row>
    <row r="25" spans="1:6" ht="18" customHeight="1" x14ac:dyDescent="0.25">
      <c r="A25" s="29">
        <v>46044</v>
      </c>
      <c r="B25" s="30" t="s">
        <v>104</v>
      </c>
      <c r="C25" s="21" t="str">
        <f>IFERROR(VLOOKUP(B25,Productos!$A:$B,2,0),"")</f>
        <v>Webcam FullHD</v>
      </c>
      <c r="D25" s="30">
        <v>22</v>
      </c>
      <c r="E25" s="110">
        <f>IFERROR(VLOOKUP(B25,Productos!$A:$D,4,0),"")</f>
        <v>32</v>
      </c>
      <c r="F25" s="110">
        <f t="shared" si="0"/>
        <v>704</v>
      </c>
    </row>
    <row r="26" spans="1:6" ht="18" customHeight="1" x14ac:dyDescent="0.25">
      <c r="A26" s="26">
        <v>46045</v>
      </c>
      <c r="B26" s="27" t="s">
        <v>106</v>
      </c>
      <c r="C26" s="17" t="str">
        <f>IFERROR(VLOOKUP(B26,Productos!$A:$B,2,0),"")</f>
        <v>Webcam Pro Stream</v>
      </c>
      <c r="D26" s="27">
        <v>11</v>
      </c>
      <c r="E26" s="109">
        <f>IFERROR(VLOOKUP(B26,Productos!$A:$D,4,0),"")</f>
        <v>55</v>
      </c>
      <c r="F26" s="109">
        <f t="shared" si="0"/>
        <v>605</v>
      </c>
    </row>
    <row r="27" spans="1:6" ht="18" customHeight="1" x14ac:dyDescent="0.25">
      <c r="A27" s="29">
        <v>46046</v>
      </c>
      <c r="B27" s="30" t="s">
        <v>108</v>
      </c>
      <c r="C27" s="21" t="str">
        <f>IFERROR(VLOOKUP(B27,Productos!$A:$B,2,0),"")</f>
        <v>Webcam Compact</v>
      </c>
      <c r="D27" s="30">
        <v>19</v>
      </c>
      <c r="E27" s="110">
        <f>IFERROR(VLOOKUP(B27,Productos!$A:$D,4,0),"")</f>
        <v>21</v>
      </c>
      <c r="F27" s="110">
        <f t="shared" si="0"/>
        <v>399</v>
      </c>
    </row>
    <row r="28" spans="1:6" ht="18" customHeight="1" x14ac:dyDescent="0.25">
      <c r="A28" s="26">
        <v>46047</v>
      </c>
      <c r="B28" s="27" t="s">
        <v>110</v>
      </c>
      <c r="C28" s="17" t="str">
        <f>IFERROR(VLOOKUP(B28,Productos!$A:$B,2,0),"")</f>
        <v>Webcam UltraWide</v>
      </c>
      <c r="D28" s="27">
        <v>13</v>
      </c>
      <c r="E28" s="109">
        <f>IFERROR(VLOOKUP(B28,Productos!$A:$D,4,0),"")</f>
        <v>64</v>
      </c>
      <c r="F28" s="109">
        <f t="shared" si="0"/>
        <v>832</v>
      </c>
    </row>
    <row r="29" spans="1:6" ht="18" customHeight="1" x14ac:dyDescent="0.25">
      <c r="A29" s="29">
        <v>46048</v>
      </c>
      <c r="B29" s="30" t="s">
        <v>112</v>
      </c>
      <c r="C29" s="21" t="str">
        <f>IFERROR(VLOOKUP(B29,Productos!$A:$B,2,0),"")</f>
        <v>SSD 256GB</v>
      </c>
      <c r="D29" s="30">
        <v>28</v>
      </c>
      <c r="E29" s="110">
        <f>IFERROR(VLOOKUP(B29,Productos!$A:$D,4,0),"")</f>
        <v>32</v>
      </c>
      <c r="F29" s="110">
        <f t="shared" si="0"/>
        <v>896</v>
      </c>
    </row>
    <row r="30" spans="1:6" ht="18" customHeight="1" x14ac:dyDescent="0.25">
      <c r="A30" s="26">
        <v>46049</v>
      </c>
      <c r="B30" s="27" t="s">
        <v>114</v>
      </c>
      <c r="C30" s="17" t="str">
        <f>IFERROR(VLOOKUP(B30,Productos!$A:$B,2,0),"")</f>
        <v>SSD 512GB</v>
      </c>
      <c r="D30" s="27">
        <v>24</v>
      </c>
      <c r="E30" s="109">
        <f>IFERROR(VLOOKUP(B30,Productos!$A:$D,4,0),"")</f>
        <v>52</v>
      </c>
      <c r="F30" s="109">
        <f t="shared" si="0"/>
        <v>1248</v>
      </c>
    </row>
    <row r="31" spans="1:6" ht="18" customHeight="1" x14ac:dyDescent="0.25">
      <c r="A31" s="29">
        <v>46050</v>
      </c>
      <c r="B31" s="30" t="s">
        <v>116</v>
      </c>
      <c r="C31" s="21" t="str">
        <f>IFERROR(VLOOKUP(B31,Productos!$A:$B,2,0),"")</f>
        <v>SSD 1TB</v>
      </c>
      <c r="D31" s="30">
        <v>15</v>
      </c>
      <c r="E31" s="110">
        <f>IFERROR(VLOOKUP(B31,Productos!$A:$D,4,0),"")</f>
        <v>88</v>
      </c>
      <c r="F31" s="110">
        <f t="shared" si="0"/>
        <v>1320</v>
      </c>
    </row>
    <row r="32" spans="1:6" ht="18" customHeight="1" x14ac:dyDescent="0.25">
      <c r="A32" s="26">
        <v>46051</v>
      </c>
      <c r="B32" s="27" t="s">
        <v>118</v>
      </c>
      <c r="C32" s="17" t="str">
        <f>IFERROR(VLOOKUP(B32,Productos!$A:$B,2,0),"")</f>
        <v>SSD 2TB</v>
      </c>
      <c r="D32" s="27">
        <v>9</v>
      </c>
      <c r="E32" s="109">
        <f>IFERROR(VLOOKUP(B32,Productos!$A:$D,4,0),"")</f>
        <v>160</v>
      </c>
      <c r="F32" s="109">
        <f t="shared" si="0"/>
        <v>1440</v>
      </c>
    </row>
    <row r="33" spans="1:6" ht="18" customHeight="1" x14ac:dyDescent="0.25">
      <c r="A33" s="29">
        <v>46052</v>
      </c>
      <c r="B33" s="30" t="s">
        <v>120</v>
      </c>
      <c r="C33" s="21" t="str">
        <f>IFERROR(VLOOKUP(B33,Productos!$A:$B,2,0),"")</f>
        <v>SSD Portable 1TB</v>
      </c>
      <c r="D33" s="30">
        <v>12</v>
      </c>
      <c r="E33" s="110">
        <f>IFERROR(VLOOKUP(B33,Productos!$A:$D,4,0),"")</f>
        <v>95</v>
      </c>
      <c r="F33" s="110">
        <f t="shared" si="0"/>
        <v>1140</v>
      </c>
    </row>
    <row r="34" spans="1:6" ht="18" customHeight="1" x14ac:dyDescent="0.25">
      <c r="A34" s="26">
        <v>46053</v>
      </c>
      <c r="B34" s="27" t="s">
        <v>122</v>
      </c>
      <c r="C34" s="17" t="str">
        <f>IFERROR(VLOOKUP(B34,Productos!$A:$B,2,0),"")</f>
        <v>Disco HDD 1TB</v>
      </c>
      <c r="D34" s="27">
        <v>18</v>
      </c>
      <c r="E34" s="109">
        <f>IFERROR(VLOOKUP(B34,Productos!$A:$D,4,0),"")</f>
        <v>35</v>
      </c>
      <c r="F34" s="109">
        <f t="shared" si="0"/>
        <v>630</v>
      </c>
    </row>
    <row r="35" spans="1:6" ht="18" customHeight="1" x14ac:dyDescent="0.25">
      <c r="A35" s="29">
        <v>46054</v>
      </c>
      <c r="B35" s="30" t="s">
        <v>124</v>
      </c>
      <c r="C35" s="21" t="str">
        <f>IFERROR(VLOOKUP(B35,Productos!$A:$B,2,0),"")</f>
        <v>Disco HDD 2TB</v>
      </c>
      <c r="D35" s="30">
        <v>14</v>
      </c>
      <c r="E35" s="110">
        <f>IFERROR(VLOOKUP(B35,Productos!$A:$D,4,0),"")</f>
        <v>50</v>
      </c>
      <c r="F35" s="110">
        <f t="shared" si="0"/>
        <v>700</v>
      </c>
    </row>
    <row r="36" spans="1:6" ht="18" customHeight="1" x14ac:dyDescent="0.25">
      <c r="A36" s="26">
        <v>46055</v>
      </c>
      <c r="B36" s="27" t="s">
        <v>126</v>
      </c>
      <c r="C36" s="17" t="str">
        <f>IFERROR(VLOOKUP(B36,Productos!$A:$B,2,0),"")</f>
        <v>Disco HDD 4TB</v>
      </c>
      <c r="D36" s="27">
        <v>11</v>
      </c>
      <c r="E36" s="109">
        <f>IFERROR(VLOOKUP(B36,Productos!$A:$D,4,0),"")</f>
        <v>85</v>
      </c>
      <c r="F36" s="109">
        <f t="shared" ref="F36:F67" si="1">IFERROR(D36*E36,"")</f>
        <v>935</v>
      </c>
    </row>
    <row r="37" spans="1:6" ht="18" customHeight="1" x14ac:dyDescent="0.25">
      <c r="A37" s="29">
        <v>46056</v>
      </c>
      <c r="B37" s="30" t="s">
        <v>128</v>
      </c>
      <c r="C37" s="21" t="str">
        <f>IFERROR(VLOOKUP(B37,Productos!$A:$B,2,0),"")</f>
        <v>Disco Externo 2TB</v>
      </c>
      <c r="D37" s="30">
        <v>10</v>
      </c>
      <c r="E37" s="110">
        <f>IFERROR(VLOOKUP(B37,Productos!$A:$D,4,0),"")</f>
        <v>70</v>
      </c>
      <c r="F37" s="110">
        <f t="shared" si="1"/>
        <v>700</v>
      </c>
    </row>
    <row r="38" spans="1:6" ht="18" customHeight="1" x14ac:dyDescent="0.25">
      <c r="A38" s="26">
        <v>46057</v>
      </c>
      <c r="B38" s="27" t="s">
        <v>130</v>
      </c>
      <c r="C38" s="17" t="str">
        <f>IFERROR(VLOOKUP(B38,Productos!$A:$B,2,0),"")</f>
        <v>Disco Externo 5TB</v>
      </c>
      <c r="D38" s="27">
        <v>7</v>
      </c>
      <c r="E38" s="109">
        <f>IFERROR(VLOOKUP(B38,Productos!$A:$D,4,0),"")</f>
        <v>120</v>
      </c>
      <c r="F38" s="109">
        <f t="shared" si="1"/>
        <v>840</v>
      </c>
    </row>
    <row r="39" spans="1:6" ht="18" customHeight="1" x14ac:dyDescent="0.25">
      <c r="A39" s="29">
        <v>46058</v>
      </c>
      <c r="B39" s="30" t="s">
        <v>132</v>
      </c>
      <c r="C39" s="21" t="str">
        <f>IFERROR(VLOOKUP(B39,Productos!$A:$B,2,0),"")</f>
        <v>Auriculares BT Lite</v>
      </c>
      <c r="D39" s="30">
        <v>23</v>
      </c>
      <c r="E39" s="110">
        <f>IFERROR(VLOOKUP(B39,Productos!$A:$D,4,0),"")</f>
        <v>22</v>
      </c>
      <c r="F39" s="110">
        <f t="shared" si="1"/>
        <v>506</v>
      </c>
    </row>
    <row r="40" spans="1:6" ht="18" customHeight="1" x14ac:dyDescent="0.25">
      <c r="A40" s="26">
        <v>46059</v>
      </c>
      <c r="B40" s="27" t="s">
        <v>134</v>
      </c>
      <c r="C40" s="17" t="str">
        <f>IFERROR(VLOOKUP(B40,Productos!$A:$B,2,0),"")</f>
        <v>Auriculares BT Pro</v>
      </c>
      <c r="D40" s="27">
        <v>19</v>
      </c>
      <c r="E40" s="109">
        <f>IFERROR(VLOOKUP(B40,Productos!$A:$D,4,0),"")</f>
        <v>35</v>
      </c>
      <c r="F40" s="109">
        <f t="shared" si="1"/>
        <v>665</v>
      </c>
    </row>
    <row r="41" spans="1:6" ht="18" customHeight="1" x14ac:dyDescent="0.25">
      <c r="A41" s="29">
        <v>46060</v>
      </c>
      <c r="B41" s="30" t="s">
        <v>136</v>
      </c>
      <c r="C41" s="21" t="str">
        <f>IFERROR(VLOOKUP(B41,Productos!$A:$B,2,0),"")</f>
        <v>Headset Gamer RGB</v>
      </c>
      <c r="D41" s="30">
        <v>17</v>
      </c>
      <c r="E41" s="110">
        <f>IFERROR(VLOOKUP(B41,Productos!$A:$D,4,0),"")</f>
        <v>48</v>
      </c>
      <c r="F41" s="110">
        <f t="shared" si="1"/>
        <v>816</v>
      </c>
    </row>
    <row r="42" spans="1:6" ht="18" customHeight="1" x14ac:dyDescent="0.25">
      <c r="A42" s="26">
        <v>46061</v>
      </c>
      <c r="B42" s="27" t="s">
        <v>138</v>
      </c>
      <c r="C42" s="17" t="str">
        <f>IFERROR(VLOOKUP(B42,Productos!$A:$B,2,0),"")</f>
        <v>Headset Studio</v>
      </c>
      <c r="D42" s="27">
        <v>13</v>
      </c>
      <c r="E42" s="109">
        <f>IFERROR(VLOOKUP(B42,Productos!$A:$D,4,0),"")</f>
        <v>65</v>
      </c>
      <c r="F42" s="109">
        <f t="shared" si="1"/>
        <v>845</v>
      </c>
    </row>
    <row r="43" spans="1:6" ht="18" customHeight="1" x14ac:dyDescent="0.25">
      <c r="A43" s="29">
        <v>46062</v>
      </c>
      <c r="B43" s="30" t="s">
        <v>140</v>
      </c>
      <c r="C43" s="21" t="str">
        <f>IFERROR(VLOOKUP(B43,Productos!$A:$B,2,0),"")</f>
        <v>Earbuds Wireless</v>
      </c>
      <c r="D43" s="30">
        <v>26</v>
      </c>
      <c r="E43" s="110">
        <f>IFERROR(VLOOKUP(B43,Productos!$A:$D,4,0),"")</f>
        <v>28</v>
      </c>
      <c r="F43" s="110">
        <f t="shared" si="1"/>
        <v>728</v>
      </c>
    </row>
    <row r="44" spans="1:6" ht="18" customHeight="1" x14ac:dyDescent="0.25">
      <c r="A44" s="26">
        <v>46063</v>
      </c>
      <c r="B44" s="27" t="s">
        <v>142</v>
      </c>
      <c r="C44" s="17" t="str">
        <f>IFERROR(VLOOKUP(B44,Productos!$A:$B,2,0),"")</f>
        <v>Router WiFi 5</v>
      </c>
      <c r="D44" s="27">
        <v>12</v>
      </c>
      <c r="E44" s="109">
        <f>IFERROR(VLOOKUP(B44,Productos!$A:$D,4,0),"")</f>
        <v>40</v>
      </c>
      <c r="F44" s="109">
        <f t="shared" si="1"/>
        <v>480</v>
      </c>
    </row>
    <row r="45" spans="1:6" ht="18" customHeight="1" x14ac:dyDescent="0.25">
      <c r="A45" s="29">
        <v>46064</v>
      </c>
      <c r="B45" s="30" t="s">
        <v>144</v>
      </c>
      <c r="C45" s="21" t="str">
        <f>IFERROR(VLOOKUP(B45,Productos!$A:$B,2,0),"")</f>
        <v>Router WiFi 6</v>
      </c>
      <c r="D45" s="30">
        <v>9</v>
      </c>
      <c r="E45" s="110">
        <f>IFERROR(VLOOKUP(B45,Productos!$A:$D,4,0),"")</f>
        <v>70</v>
      </c>
      <c r="F45" s="110">
        <f t="shared" si="1"/>
        <v>630</v>
      </c>
    </row>
    <row r="46" spans="1:6" ht="18" customHeight="1" x14ac:dyDescent="0.25">
      <c r="A46" s="26">
        <v>46065</v>
      </c>
      <c r="B46" s="27" t="s">
        <v>146</v>
      </c>
      <c r="C46" s="17" t="str">
        <f>IFERROR(VLOOKUP(B46,Productos!$A:$B,2,0),"")</f>
        <v>Router Mesh Node</v>
      </c>
      <c r="D46" s="27">
        <v>8</v>
      </c>
      <c r="E46" s="109">
        <f>IFERROR(VLOOKUP(B46,Productos!$A:$D,4,0),"")</f>
        <v>65</v>
      </c>
      <c r="F46" s="109">
        <f t="shared" si="1"/>
        <v>520</v>
      </c>
    </row>
    <row r="47" spans="1:6" ht="18" customHeight="1" x14ac:dyDescent="0.25">
      <c r="A47" s="29">
        <v>46066</v>
      </c>
      <c r="B47" s="30" t="s">
        <v>148</v>
      </c>
      <c r="C47" s="21" t="str">
        <f>IFERROR(VLOOKUP(B47,Productos!$A:$B,2,0),"")</f>
        <v>Extensor WiFi</v>
      </c>
      <c r="D47" s="30">
        <v>21</v>
      </c>
      <c r="E47" s="110">
        <f>IFERROR(VLOOKUP(B47,Productos!$A:$D,4,0),"")</f>
        <v>25</v>
      </c>
      <c r="F47" s="110">
        <f t="shared" si="1"/>
        <v>525</v>
      </c>
    </row>
    <row r="48" spans="1:6" ht="18" customHeight="1" x14ac:dyDescent="0.25">
      <c r="A48" s="26">
        <v>46067</v>
      </c>
      <c r="B48" s="27" t="s">
        <v>150</v>
      </c>
      <c r="C48" s="17" t="str">
        <f>IFERROR(VLOOKUP(B48,Productos!$A:$B,2,0),"")</f>
        <v>Switch 8 Puertos</v>
      </c>
      <c r="D48" s="27">
        <v>16</v>
      </c>
      <c r="E48" s="109">
        <f>IFERROR(VLOOKUP(B48,Productos!$A:$D,4,0),"")</f>
        <v>32</v>
      </c>
      <c r="F48" s="109">
        <f t="shared" si="1"/>
        <v>512</v>
      </c>
    </row>
    <row r="49" spans="1:6" ht="18" customHeight="1" x14ac:dyDescent="0.25">
      <c r="A49" s="29">
        <v>46068</v>
      </c>
      <c r="B49" s="30" t="s">
        <v>152</v>
      </c>
      <c r="C49" s="21" t="str">
        <f>IFERROR(VLOOKUP(B49,Productos!$A:$B,2,0),"")</f>
        <v>Cable HDMI 2m</v>
      </c>
      <c r="D49" s="30">
        <v>40</v>
      </c>
      <c r="E49" s="110">
        <f>IFERROR(VLOOKUP(B49,Productos!$A:$D,4,0),"")</f>
        <v>4</v>
      </c>
      <c r="F49" s="110">
        <f t="shared" si="1"/>
        <v>160</v>
      </c>
    </row>
    <row r="50" spans="1:6" ht="18" customHeight="1" x14ac:dyDescent="0.25">
      <c r="A50" s="26">
        <v>46069</v>
      </c>
      <c r="B50" s="27" t="s">
        <v>154</v>
      </c>
      <c r="C50" s="17" t="str">
        <f>IFERROR(VLOOKUP(B50,Productos!$A:$B,2,0),"")</f>
        <v>Cable HDMI 5m</v>
      </c>
      <c r="D50" s="27">
        <v>35</v>
      </c>
      <c r="E50" s="109">
        <f>IFERROR(VLOOKUP(B50,Productos!$A:$D,4,0),"")</f>
        <v>6</v>
      </c>
      <c r="F50" s="109">
        <f t="shared" si="1"/>
        <v>210</v>
      </c>
    </row>
    <row r="51" spans="1:6" ht="18" customHeight="1" x14ac:dyDescent="0.25">
      <c r="A51" s="29">
        <v>46070</v>
      </c>
      <c r="B51" s="30" t="s">
        <v>156</v>
      </c>
      <c r="C51" s="21" t="str">
        <f>IFERROR(VLOOKUP(B51,Productos!$A:$B,2,0),"")</f>
        <v>Cable USB-C</v>
      </c>
      <c r="D51" s="30">
        <v>32</v>
      </c>
      <c r="E51" s="110">
        <f>IFERROR(VLOOKUP(B51,Productos!$A:$D,4,0),"")</f>
        <v>5</v>
      </c>
      <c r="F51" s="110">
        <f t="shared" si="1"/>
        <v>160</v>
      </c>
    </row>
    <row r="52" spans="1:6" ht="18" customHeight="1" x14ac:dyDescent="0.25">
      <c r="A52" s="26">
        <v>46071</v>
      </c>
      <c r="B52" s="27" t="s">
        <v>158</v>
      </c>
      <c r="C52" s="17" t="str">
        <f>IFERROR(VLOOKUP(B52,Productos!$A:$B,2,0),"")</f>
        <v>Cable Ethernet Cat6</v>
      </c>
      <c r="D52" s="27">
        <v>45</v>
      </c>
      <c r="E52" s="109">
        <f>IFERROR(VLOOKUP(B52,Productos!$A:$D,4,0),"")</f>
        <v>3</v>
      </c>
      <c r="F52" s="109">
        <f t="shared" si="1"/>
        <v>135</v>
      </c>
    </row>
    <row r="53" spans="1:6" ht="18" customHeight="1" x14ac:dyDescent="0.25">
      <c r="A53" s="29">
        <v>46072</v>
      </c>
      <c r="B53" s="30" t="s">
        <v>160</v>
      </c>
      <c r="C53" s="21" t="str">
        <f>IFERROR(VLOOKUP(B53,Productos!$A:$B,2,0),"")</f>
        <v>Cable DisplayPort</v>
      </c>
      <c r="D53" s="30">
        <v>28</v>
      </c>
      <c r="E53" s="110">
        <f>IFERROR(VLOOKUP(B53,Productos!$A:$D,4,0),"")</f>
        <v>6</v>
      </c>
      <c r="F53" s="110">
        <f t="shared" si="1"/>
        <v>168</v>
      </c>
    </row>
    <row r="54" spans="1:6" ht="18" customHeight="1" x14ac:dyDescent="0.25">
      <c r="A54" s="26">
        <v>46073</v>
      </c>
      <c r="B54" s="27" t="s">
        <v>162</v>
      </c>
      <c r="C54" s="17" t="str">
        <f>IFERROR(VLOOKUP(B54,Productos!$A:$B,2,0),"")</f>
        <v>Tablet 8</v>
      </c>
      <c r="D54" s="27">
        <v>10</v>
      </c>
      <c r="E54" s="109">
        <f>IFERROR(VLOOKUP(B54,Productos!$A:$D,4,0),"")</f>
        <v>110</v>
      </c>
      <c r="F54" s="109">
        <f t="shared" si="1"/>
        <v>1100</v>
      </c>
    </row>
    <row r="55" spans="1:6" ht="18" customHeight="1" x14ac:dyDescent="0.25">
      <c r="A55" s="29">
        <v>46074</v>
      </c>
      <c r="B55" s="30" t="s">
        <v>164</v>
      </c>
      <c r="C55" s="21" t="str">
        <f>IFERROR(VLOOKUP(B55,Productos!$A:$B,2,0),"")</f>
        <v>Tablet 10</v>
      </c>
      <c r="D55" s="30">
        <v>8</v>
      </c>
      <c r="E55" s="110">
        <f>IFERROR(VLOOKUP(B55,Productos!$A:$D,4,0),"")</f>
        <v>150</v>
      </c>
      <c r="F55" s="110">
        <f t="shared" si="1"/>
        <v>1200</v>
      </c>
    </row>
    <row r="56" spans="1:6" ht="18" customHeight="1" x14ac:dyDescent="0.25">
      <c r="A56" s="26">
        <v>46075</v>
      </c>
      <c r="B56" s="27" t="s">
        <v>166</v>
      </c>
      <c r="C56" s="17" t="str">
        <f>IFERROR(VLOOKUP(B56,Productos!$A:$B,2,0),"")</f>
        <v>Tablet Pro</v>
      </c>
      <c r="D56" s="27">
        <v>7</v>
      </c>
      <c r="E56" s="109">
        <f>IFERROR(VLOOKUP(B56,Productos!$A:$D,4,0),"")</f>
        <v>210</v>
      </c>
      <c r="F56" s="109">
        <f t="shared" si="1"/>
        <v>1470</v>
      </c>
    </row>
    <row r="57" spans="1:6" ht="18" customHeight="1" x14ac:dyDescent="0.25">
      <c r="A57" s="29">
        <v>46076</v>
      </c>
      <c r="B57" s="30" t="s">
        <v>168</v>
      </c>
      <c r="C57" s="21" t="str">
        <f>IFERROR(VLOOKUP(B57,Productos!$A:$B,2,0),"")</f>
        <v>Tablet Mini</v>
      </c>
      <c r="D57" s="30">
        <v>11</v>
      </c>
      <c r="E57" s="110">
        <f>IFERROR(VLOOKUP(B57,Productos!$A:$D,4,0),"")</f>
        <v>95</v>
      </c>
      <c r="F57" s="110">
        <f t="shared" si="1"/>
        <v>1045</v>
      </c>
    </row>
    <row r="58" spans="1:6" ht="18" customHeight="1" x14ac:dyDescent="0.25">
      <c r="A58" s="26">
        <v>46077</v>
      </c>
      <c r="B58" s="27" t="s">
        <v>170</v>
      </c>
      <c r="C58" s="17" t="str">
        <f>IFERROR(VLOOKUP(B58,Productos!$A:$B,2,0),"")</f>
        <v>Tablet Studio</v>
      </c>
      <c r="D58" s="27">
        <v>6</v>
      </c>
      <c r="E58" s="109">
        <f>IFERROR(VLOOKUP(B58,Productos!$A:$D,4,0),"")</f>
        <v>260</v>
      </c>
      <c r="F58" s="109">
        <f t="shared" si="1"/>
        <v>1560</v>
      </c>
    </row>
    <row r="59" spans="1:6" ht="18" customHeight="1" x14ac:dyDescent="0.25">
      <c r="A59" s="29">
        <v>46078</v>
      </c>
      <c r="B59" s="30" t="s">
        <v>172</v>
      </c>
      <c r="C59" s="21" t="str">
        <f>IFERROR(VLOOKUP(B59,Productos!$A:$B,2,0),"")</f>
        <v>Impresora InkJet</v>
      </c>
      <c r="D59" s="30">
        <v>14</v>
      </c>
      <c r="E59" s="110">
        <f>IFERROR(VLOOKUP(B59,Productos!$A:$D,4,0),"")</f>
        <v>65</v>
      </c>
      <c r="F59" s="110">
        <f t="shared" si="1"/>
        <v>910</v>
      </c>
    </row>
    <row r="60" spans="1:6" ht="18" customHeight="1" x14ac:dyDescent="0.25">
      <c r="A60" s="26">
        <v>46079</v>
      </c>
      <c r="B60" s="27" t="s">
        <v>174</v>
      </c>
      <c r="C60" s="17" t="str">
        <f>IFERROR(VLOOKUP(B60,Productos!$A:$B,2,0),"")</f>
        <v>Impresora Laser</v>
      </c>
      <c r="D60" s="27">
        <v>9</v>
      </c>
      <c r="E60" s="109">
        <f>IFERROR(VLOOKUP(B60,Productos!$A:$D,4,0),"")</f>
        <v>120</v>
      </c>
      <c r="F60" s="109">
        <f t="shared" si="1"/>
        <v>1080</v>
      </c>
    </row>
    <row r="61" spans="1:6" ht="18" customHeight="1" x14ac:dyDescent="0.25">
      <c r="A61" s="29">
        <v>46080</v>
      </c>
      <c r="B61" s="30" t="s">
        <v>176</v>
      </c>
      <c r="C61" s="21" t="str">
        <f>IFERROR(VLOOKUP(B61,Productos!$A:$B,2,0),"")</f>
        <v>Impresora Multifunción</v>
      </c>
      <c r="D61" s="30">
        <v>8</v>
      </c>
      <c r="E61" s="110">
        <f>IFERROR(VLOOKUP(B61,Productos!$A:$D,4,0),"")</f>
        <v>150</v>
      </c>
      <c r="F61" s="110">
        <f t="shared" si="1"/>
        <v>1200</v>
      </c>
    </row>
    <row r="62" spans="1:6" ht="18" customHeight="1" x14ac:dyDescent="0.25">
      <c r="A62" s="26">
        <v>46081</v>
      </c>
      <c r="B62" s="27" t="s">
        <v>178</v>
      </c>
      <c r="C62" s="17" t="str">
        <f>IFERROR(VLOOKUP(B62,Productos!$A:$B,2,0),"")</f>
        <v>Impresora Compacta</v>
      </c>
      <c r="D62" s="27">
        <v>12</v>
      </c>
      <c r="E62" s="109">
        <f>IFERROR(VLOOKUP(B62,Productos!$A:$D,4,0),"")</f>
        <v>55</v>
      </c>
      <c r="F62" s="109">
        <f t="shared" si="1"/>
        <v>660</v>
      </c>
    </row>
    <row r="63" spans="1:6" ht="18" customHeight="1" x14ac:dyDescent="0.25">
      <c r="A63" s="29">
        <v>46082</v>
      </c>
      <c r="B63" s="30" t="s">
        <v>180</v>
      </c>
      <c r="C63" s="21" t="str">
        <f>IFERROR(VLOOKUP(B63,Productos!$A:$B,2,0),"")</f>
        <v>Impresora WiFi</v>
      </c>
      <c r="D63" s="30">
        <v>10</v>
      </c>
      <c r="E63" s="110">
        <f>IFERROR(VLOOKUP(B63,Productos!$A:$D,4,0),"")</f>
        <v>85</v>
      </c>
      <c r="F63" s="110">
        <f t="shared" si="1"/>
        <v>850</v>
      </c>
    </row>
    <row r="64" spans="1:6" ht="18" customHeight="1" x14ac:dyDescent="0.25">
      <c r="A64" s="26">
        <v>46083</v>
      </c>
      <c r="B64" s="27" t="s">
        <v>182</v>
      </c>
      <c r="C64" s="17" t="str">
        <f>IFERROR(VLOOKUP(B64,Productos!$A:$B,2,0),"")</f>
        <v>Silla Gamer</v>
      </c>
      <c r="D64" s="27">
        <v>7</v>
      </c>
      <c r="E64" s="109">
        <f>IFERROR(VLOOKUP(B64,Productos!$A:$D,4,0),"")</f>
        <v>120</v>
      </c>
      <c r="F64" s="109">
        <f t="shared" si="1"/>
        <v>840</v>
      </c>
    </row>
    <row r="65" spans="1:6" ht="18" customHeight="1" x14ac:dyDescent="0.25">
      <c r="A65" s="29">
        <v>46084</v>
      </c>
      <c r="B65" s="30" t="s">
        <v>185</v>
      </c>
      <c r="C65" s="21" t="str">
        <f>IFERROR(VLOOKUP(B65,Productos!$A:$B,2,0),"")</f>
        <v>Silla Oficina Pro</v>
      </c>
      <c r="D65" s="30">
        <v>9</v>
      </c>
      <c r="E65" s="110">
        <f>IFERROR(VLOOKUP(B65,Productos!$A:$D,4,0),"")</f>
        <v>95</v>
      </c>
      <c r="F65" s="110">
        <f t="shared" si="1"/>
        <v>855</v>
      </c>
    </row>
    <row r="66" spans="1:6" ht="18" customHeight="1" x14ac:dyDescent="0.25">
      <c r="A66" s="26">
        <v>46085</v>
      </c>
      <c r="B66" s="27" t="s">
        <v>187</v>
      </c>
      <c r="C66" s="17" t="str">
        <f>IFERROR(VLOOKUP(B66,Productos!$A:$B,2,0),"")</f>
        <v>Silla Ergonómica</v>
      </c>
      <c r="D66" s="27">
        <v>6</v>
      </c>
      <c r="E66" s="109">
        <f>IFERROR(VLOOKUP(B66,Productos!$A:$D,4,0),"")</f>
        <v>140</v>
      </c>
      <c r="F66" s="109">
        <f t="shared" si="1"/>
        <v>840</v>
      </c>
    </row>
    <row r="67" spans="1:6" ht="18" customHeight="1" x14ac:dyDescent="0.25">
      <c r="A67" s="29">
        <v>46086</v>
      </c>
      <c r="B67" s="30" t="s">
        <v>189</v>
      </c>
      <c r="C67" s="21" t="str">
        <f>IFERROR(VLOOKUP(B67,Productos!$A:$B,2,0),"")</f>
        <v>Escritorio Compacto</v>
      </c>
      <c r="D67" s="30">
        <v>11</v>
      </c>
      <c r="E67" s="110">
        <f>IFERROR(VLOOKUP(B67,Productos!$A:$D,4,0),"")</f>
        <v>75</v>
      </c>
      <c r="F67" s="110">
        <f t="shared" si="1"/>
        <v>825</v>
      </c>
    </row>
    <row r="68" spans="1:6" ht="18" customHeight="1" x14ac:dyDescent="0.25">
      <c r="A68" s="26">
        <v>46087</v>
      </c>
      <c r="B68" s="27" t="s">
        <v>191</v>
      </c>
      <c r="C68" s="17" t="str">
        <f>IFERROR(VLOOKUP(B68,Productos!$A:$B,2,0),"")</f>
        <v>Escritorio Gamer</v>
      </c>
      <c r="D68" s="27">
        <v>8</v>
      </c>
      <c r="E68" s="109">
        <f>IFERROR(VLOOKUP(B68,Productos!$A:$D,4,0),"")</f>
        <v>110</v>
      </c>
      <c r="F68" s="109">
        <f t="shared" ref="F68:F99" si="2">IFERROR(D68*E68,"")</f>
        <v>880</v>
      </c>
    </row>
    <row r="69" spans="1:6" ht="18" customHeight="1" x14ac:dyDescent="0.25">
      <c r="A69" s="29">
        <v>46088</v>
      </c>
      <c r="B69" s="30" t="s">
        <v>193</v>
      </c>
      <c r="C69" s="21" t="str">
        <f>IFERROR(VLOOKUP(B69,Productos!$A:$B,2,0),"")</f>
        <v>Base Laptop</v>
      </c>
      <c r="D69" s="30">
        <v>24</v>
      </c>
      <c r="E69" s="110">
        <f>IFERROR(VLOOKUP(B69,Productos!$A:$D,4,0),"")</f>
        <v>15</v>
      </c>
      <c r="F69" s="110">
        <f t="shared" si="2"/>
        <v>360</v>
      </c>
    </row>
    <row r="70" spans="1:6" ht="18" customHeight="1" x14ac:dyDescent="0.25">
      <c r="A70" s="26">
        <v>46089</v>
      </c>
      <c r="B70" s="27" t="s">
        <v>195</v>
      </c>
      <c r="C70" s="17" t="str">
        <f>IFERROR(VLOOKUP(B70,Productos!$A:$B,2,0),"")</f>
        <v>Cooling Pad RGB</v>
      </c>
      <c r="D70" s="27">
        <v>20</v>
      </c>
      <c r="E70" s="109">
        <f>IFERROR(VLOOKUP(B70,Productos!$A:$D,4,0),"")</f>
        <v>22</v>
      </c>
      <c r="F70" s="109">
        <f t="shared" si="2"/>
        <v>440</v>
      </c>
    </row>
    <row r="71" spans="1:6" ht="18" customHeight="1" x14ac:dyDescent="0.25">
      <c r="A71" s="29">
        <v>46090</v>
      </c>
      <c r="B71" s="30" t="s">
        <v>197</v>
      </c>
      <c r="C71" s="21" t="str">
        <f>IFERROR(VLOOKUP(B71,Productos!$A:$B,2,0),"")</f>
        <v>Hub USB</v>
      </c>
      <c r="D71" s="30">
        <v>28</v>
      </c>
      <c r="E71" s="110">
        <f>IFERROR(VLOOKUP(B71,Productos!$A:$D,4,0),"")</f>
        <v>12</v>
      </c>
      <c r="F71" s="110">
        <f t="shared" si="2"/>
        <v>336</v>
      </c>
    </row>
    <row r="72" spans="1:6" ht="18" customHeight="1" x14ac:dyDescent="0.25">
      <c r="A72" s="26">
        <v>46091</v>
      </c>
      <c r="B72" s="27" t="s">
        <v>199</v>
      </c>
      <c r="C72" s="17" t="str">
        <f>IFERROR(VLOOKUP(B72,Productos!$A:$B,2,0),"")</f>
        <v>Hub USB-C</v>
      </c>
      <c r="D72" s="27">
        <v>21</v>
      </c>
      <c r="E72" s="109">
        <f>IFERROR(VLOOKUP(B72,Productos!$A:$D,4,0),"")</f>
        <v>18</v>
      </c>
      <c r="F72" s="109">
        <f t="shared" si="2"/>
        <v>378</v>
      </c>
    </row>
    <row r="73" spans="1:6" ht="18" customHeight="1" x14ac:dyDescent="0.25">
      <c r="A73" s="29">
        <v>46092</v>
      </c>
      <c r="B73" s="30" t="s">
        <v>201</v>
      </c>
      <c r="C73" s="21" t="str">
        <f>IFERROR(VLOOKUP(B73,Productos!$A:$B,2,0),"")</f>
        <v>Adaptador HDMI</v>
      </c>
      <c r="D73" s="30">
        <v>26</v>
      </c>
      <c r="E73" s="110">
        <f>IFERROR(VLOOKUP(B73,Productos!$A:$D,4,0),"")</f>
        <v>10</v>
      </c>
      <c r="F73" s="110">
        <f t="shared" si="2"/>
        <v>260</v>
      </c>
    </row>
    <row r="74" spans="1:6" ht="18" customHeight="1" x14ac:dyDescent="0.25">
      <c r="A74" s="26">
        <v>46093</v>
      </c>
      <c r="B74" s="27" t="s">
        <v>203</v>
      </c>
      <c r="C74" s="17" t="str">
        <f>IFERROR(VLOOKUP(B74,Productos!$A:$B,2,0),"")</f>
        <v>Power Bank 10000</v>
      </c>
      <c r="D74" s="27">
        <v>30</v>
      </c>
      <c r="E74" s="109">
        <f>IFERROR(VLOOKUP(B74,Productos!$A:$D,4,0),"")</f>
        <v>14</v>
      </c>
      <c r="F74" s="109">
        <f t="shared" si="2"/>
        <v>420</v>
      </c>
    </row>
    <row r="75" spans="1:6" ht="18" customHeight="1" x14ac:dyDescent="0.25">
      <c r="A75" s="29">
        <v>46094</v>
      </c>
      <c r="B75" s="30" t="s">
        <v>206</v>
      </c>
      <c r="C75" s="21" t="str">
        <f>IFERROR(VLOOKUP(B75,Productos!$A:$B,2,0),"")</f>
        <v>Power Bank 20000</v>
      </c>
      <c r="D75" s="30">
        <v>22</v>
      </c>
      <c r="E75" s="110">
        <f>IFERROR(VLOOKUP(B75,Productos!$A:$D,4,0),"")</f>
        <v>20</v>
      </c>
      <c r="F75" s="110">
        <f t="shared" si="2"/>
        <v>440</v>
      </c>
    </row>
    <row r="76" spans="1:6" ht="18" customHeight="1" x14ac:dyDescent="0.25">
      <c r="A76" s="26">
        <v>46095</v>
      </c>
      <c r="B76" s="27" t="s">
        <v>208</v>
      </c>
      <c r="C76" s="17" t="str">
        <f>IFERROR(VLOOKUP(B76,Productos!$A:$B,2,0),"")</f>
        <v>Cargador USB-C</v>
      </c>
      <c r="D76" s="27">
        <v>25</v>
      </c>
      <c r="E76" s="109">
        <f>IFERROR(VLOOKUP(B76,Productos!$A:$D,4,0),"")</f>
        <v>11</v>
      </c>
      <c r="F76" s="109">
        <f t="shared" si="2"/>
        <v>275</v>
      </c>
    </row>
    <row r="77" spans="1:6" ht="18" customHeight="1" x14ac:dyDescent="0.25">
      <c r="A77" s="29">
        <v>46096</v>
      </c>
      <c r="B77" s="30" t="s">
        <v>210</v>
      </c>
      <c r="C77" s="21" t="str">
        <f>IFERROR(VLOOKUP(B77,Productos!$A:$B,2,0),"")</f>
        <v>Cargador Laptop</v>
      </c>
      <c r="D77" s="30">
        <v>18</v>
      </c>
      <c r="E77" s="110">
        <f>IFERROR(VLOOKUP(B77,Productos!$A:$D,4,0),"")</f>
        <v>25</v>
      </c>
      <c r="F77" s="110">
        <f t="shared" si="2"/>
        <v>450</v>
      </c>
    </row>
    <row r="78" spans="1:6" ht="18" customHeight="1" x14ac:dyDescent="0.25">
      <c r="A78" s="26">
        <v>46097</v>
      </c>
      <c r="B78" s="27" t="s">
        <v>212</v>
      </c>
      <c r="C78" s="17" t="str">
        <f>IFERROR(VLOOKUP(B78,Productos!$A:$B,2,0),"")</f>
        <v>Regleta Protección</v>
      </c>
      <c r="D78" s="27">
        <v>27</v>
      </c>
      <c r="E78" s="109">
        <f>IFERROR(VLOOKUP(B78,Productos!$A:$D,4,0),"")</f>
        <v>9</v>
      </c>
      <c r="F78" s="109">
        <f t="shared" si="2"/>
        <v>243</v>
      </c>
    </row>
    <row r="79" spans="1:6" ht="18" customHeight="1" x14ac:dyDescent="0.25">
      <c r="A79" s="29">
        <v>46098</v>
      </c>
      <c r="B79" s="30" t="s">
        <v>214</v>
      </c>
      <c r="C79" s="21" t="str">
        <f>IFERROR(VLOOKUP(B79,Productos!$A:$B,2,0),"")</f>
        <v>Cámara Seguridad</v>
      </c>
      <c r="D79" s="30">
        <v>14</v>
      </c>
      <c r="E79" s="110">
        <f>IFERROR(VLOOKUP(B79,Productos!$A:$D,4,0),"")</f>
        <v>35</v>
      </c>
      <c r="F79" s="110">
        <f t="shared" si="2"/>
        <v>490</v>
      </c>
    </row>
    <row r="80" spans="1:6" ht="18" customHeight="1" x14ac:dyDescent="0.25">
      <c r="A80" s="26">
        <v>46099</v>
      </c>
      <c r="B80" s="27" t="s">
        <v>217</v>
      </c>
      <c r="C80" s="17" t="str">
        <f>IFERROR(VLOOKUP(B80,Productos!$A:$B,2,0),"")</f>
        <v>Cámara WiFi Pro</v>
      </c>
      <c r="D80" s="27">
        <v>9</v>
      </c>
      <c r="E80" s="109">
        <f>IFERROR(VLOOKUP(B80,Productos!$A:$D,4,0),"")</f>
        <v>60</v>
      </c>
      <c r="F80" s="109">
        <f t="shared" si="2"/>
        <v>540</v>
      </c>
    </row>
    <row r="81" spans="1:6" ht="18" customHeight="1" x14ac:dyDescent="0.25">
      <c r="A81" s="29">
        <v>46100</v>
      </c>
      <c r="B81" s="30" t="s">
        <v>219</v>
      </c>
      <c r="C81" s="21" t="str">
        <f>IFERROR(VLOOKUP(B81,Productos!$A:$B,2,0),"")</f>
        <v>Sensor Movimiento</v>
      </c>
      <c r="D81" s="30">
        <v>16</v>
      </c>
      <c r="E81" s="110">
        <f>IFERROR(VLOOKUP(B81,Productos!$A:$D,4,0),"")</f>
        <v>18</v>
      </c>
      <c r="F81" s="110">
        <f t="shared" si="2"/>
        <v>288</v>
      </c>
    </row>
    <row r="82" spans="1:6" ht="18" customHeight="1" x14ac:dyDescent="0.25">
      <c r="A82" s="26">
        <v>46101</v>
      </c>
      <c r="B82" s="27" t="s">
        <v>221</v>
      </c>
      <c r="C82" s="17" t="str">
        <f>IFERROR(VLOOKUP(B82,Productos!$A:$B,2,0),"")</f>
        <v>Timbre Inteligente</v>
      </c>
      <c r="D82" s="27">
        <v>12</v>
      </c>
      <c r="E82" s="109">
        <f>IFERROR(VLOOKUP(B82,Productos!$A:$D,4,0),"")</f>
        <v>45</v>
      </c>
      <c r="F82" s="109">
        <f t="shared" si="2"/>
        <v>540</v>
      </c>
    </row>
    <row r="83" spans="1:6" ht="18" customHeight="1" x14ac:dyDescent="0.25">
      <c r="A83" s="29">
        <v>46102</v>
      </c>
      <c r="B83" s="30" t="s">
        <v>223</v>
      </c>
      <c r="C83" s="21" t="str">
        <f>IFERROR(VLOOKUP(B83,Productos!$A:$B,2,0),"")</f>
        <v>Kit Seguridad Hogar</v>
      </c>
      <c r="D83" s="30">
        <v>8</v>
      </c>
      <c r="E83" s="110">
        <f>IFERROR(VLOOKUP(B83,Productos!$A:$D,4,0),"")</f>
        <v>95</v>
      </c>
      <c r="F83" s="110">
        <f t="shared" si="2"/>
        <v>760</v>
      </c>
    </row>
    <row r="84" spans="1:6" ht="18" customHeight="1" x14ac:dyDescent="0.25">
      <c r="A84" s="26">
        <v>46103</v>
      </c>
      <c r="B84" s="27" t="s">
        <v>225</v>
      </c>
      <c r="C84" s="17" t="str">
        <f>IFERROR(VLOOKUP(B84,Productos!$A:$B,2,0),"")</f>
        <v>Smartwatch Lite</v>
      </c>
      <c r="D84" s="27">
        <v>19</v>
      </c>
      <c r="E84" s="109">
        <f>IFERROR(VLOOKUP(B84,Productos!$A:$D,4,0),"")</f>
        <v>42</v>
      </c>
      <c r="F84" s="109">
        <f t="shared" si="2"/>
        <v>798</v>
      </c>
    </row>
    <row r="85" spans="1:6" ht="18" customHeight="1" x14ac:dyDescent="0.25">
      <c r="A85" s="29">
        <v>46104</v>
      </c>
      <c r="B85" s="30" t="s">
        <v>228</v>
      </c>
      <c r="C85" s="21" t="str">
        <f>IFERROR(VLOOKUP(B85,Productos!$A:$B,2,0),"")</f>
        <v>Smartwatch Pro</v>
      </c>
      <c r="D85" s="30">
        <v>11</v>
      </c>
      <c r="E85" s="110">
        <f>IFERROR(VLOOKUP(B85,Productos!$A:$D,4,0),"")</f>
        <v>85</v>
      </c>
      <c r="F85" s="110">
        <f t="shared" si="2"/>
        <v>935</v>
      </c>
    </row>
    <row r="86" spans="1:6" ht="18" customHeight="1" x14ac:dyDescent="0.25">
      <c r="A86" s="26">
        <v>46105</v>
      </c>
      <c r="B86" s="27" t="s">
        <v>230</v>
      </c>
      <c r="C86" s="17" t="str">
        <f>IFERROR(VLOOKUP(B86,Productos!$A:$B,2,0),"")</f>
        <v>Smartband Fit</v>
      </c>
      <c r="D86" s="27">
        <v>17</v>
      </c>
      <c r="E86" s="109">
        <f>IFERROR(VLOOKUP(B86,Productos!$A:$D,4,0),"")</f>
        <v>28</v>
      </c>
      <c r="F86" s="109">
        <f t="shared" si="2"/>
        <v>476</v>
      </c>
    </row>
    <row r="87" spans="1:6" ht="18" customHeight="1" x14ac:dyDescent="0.25">
      <c r="A87" s="29">
        <v>46106</v>
      </c>
      <c r="B87" s="30" t="s">
        <v>232</v>
      </c>
      <c r="C87" s="21" t="str">
        <f>IFERROR(VLOOKUP(B87,Productos!$A:$B,2,0),"")</f>
        <v>Smartwatch Sport</v>
      </c>
      <c r="D87" s="30">
        <v>13</v>
      </c>
      <c r="E87" s="110">
        <f>IFERROR(VLOOKUP(B87,Productos!$A:$D,4,0),"")</f>
        <v>70</v>
      </c>
      <c r="F87" s="110">
        <f t="shared" si="2"/>
        <v>910</v>
      </c>
    </row>
    <row r="88" spans="1:6" ht="18" customHeight="1" x14ac:dyDescent="0.25">
      <c r="A88" s="26">
        <v>46107</v>
      </c>
      <c r="B88" s="27" t="s">
        <v>234</v>
      </c>
      <c r="C88" s="17" t="str">
        <f>IFERROR(VLOOKUP(B88,Productos!$A:$B,2,0),"")</f>
        <v>Smartwatch Ultra</v>
      </c>
      <c r="D88" s="27">
        <v>10</v>
      </c>
      <c r="E88" s="109">
        <f>IFERROR(VLOOKUP(B88,Productos!$A:$D,4,0),"")</f>
        <v>110</v>
      </c>
      <c r="F88" s="109">
        <f t="shared" si="2"/>
        <v>1100</v>
      </c>
    </row>
    <row r="89" spans="1:6" ht="18" customHeight="1" x14ac:dyDescent="0.25">
      <c r="A89" s="29">
        <v>46108</v>
      </c>
      <c r="B89" s="30" t="s">
        <v>236</v>
      </c>
      <c r="C89" s="21" t="str">
        <f>IFERROR(VLOOKUP(B89,Productos!$A:$B,2,0),"")</f>
        <v>Lámpara LED Desk</v>
      </c>
      <c r="D89" s="30">
        <v>21</v>
      </c>
      <c r="E89" s="110">
        <f>IFERROR(VLOOKUP(B89,Productos!$A:$D,4,0),"")</f>
        <v>12</v>
      </c>
      <c r="F89" s="110">
        <f t="shared" si="2"/>
        <v>252</v>
      </c>
    </row>
    <row r="90" spans="1:6" ht="18" customHeight="1" x14ac:dyDescent="0.25">
      <c r="A90" s="26">
        <v>46109</v>
      </c>
      <c r="B90" s="27" t="s">
        <v>239</v>
      </c>
      <c r="C90" s="17" t="str">
        <f>IFERROR(VLOOKUP(B90,Productos!$A:$B,2,0),"")</f>
        <v>Lámpara RGB</v>
      </c>
      <c r="D90" s="27">
        <v>18</v>
      </c>
      <c r="E90" s="109">
        <f>IFERROR(VLOOKUP(B90,Productos!$A:$D,4,0),"")</f>
        <v>20</v>
      </c>
      <c r="F90" s="109">
        <f t="shared" si="2"/>
        <v>360</v>
      </c>
    </row>
    <row r="91" spans="1:6" ht="18" customHeight="1" x14ac:dyDescent="0.25">
      <c r="A91" s="29">
        <v>46110</v>
      </c>
      <c r="B91" s="30" t="s">
        <v>241</v>
      </c>
      <c r="C91" s="21" t="str">
        <f>IFERROR(VLOOKUP(B91,Productos!$A:$B,2,0),"")</f>
        <v>Lámpara Monitor</v>
      </c>
      <c r="D91" s="30">
        <v>16</v>
      </c>
      <c r="E91" s="110">
        <f>IFERROR(VLOOKUP(B91,Productos!$A:$D,4,0),"")</f>
        <v>18</v>
      </c>
      <c r="F91" s="110">
        <f t="shared" si="2"/>
        <v>288</v>
      </c>
    </row>
    <row r="92" spans="1:6" ht="18" customHeight="1" x14ac:dyDescent="0.25">
      <c r="A92" s="26">
        <v>46111</v>
      </c>
      <c r="B92" s="27" t="s">
        <v>243</v>
      </c>
      <c r="C92" s="17" t="str">
        <f>IFERROR(VLOOKUP(B92,Productos!$A:$B,2,0),"")</f>
        <v>Luz Ambiente RGB</v>
      </c>
      <c r="D92" s="27">
        <v>14</v>
      </c>
      <c r="E92" s="109">
        <f>IFERROR(VLOOKUP(B92,Productos!$A:$D,4,0),"")</f>
        <v>25</v>
      </c>
      <c r="F92" s="109">
        <f t="shared" si="2"/>
        <v>350</v>
      </c>
    </row>
    <row r="93" spans="1:6" ht="18" customHeight="1" x14ac:dyDescent="0.25">
      <c r="A93" s="29">
        <v>46111</v>
      </c>
      <c r="B93" s="30" t="s">
        <v>245</v>
      </c>
      <c r="C93" s="21" t="str">
        <f>IFERROR(VLOOKUP(B93,Productos!$A:$B,2,0),"")</f>
        <v>Panel LED Studio</v>
      </c>
      <c r="D93" s="30">
        <v>12</v>
      </c>
      <c r="E93" s="110">
        <f>IFERROR(VLOOKUP(B93,Productos!$A:$D,4,0),"")</f>
        <v>55</v>
      </c>
      <c r="F93" s="110">
        <f t="shared" si="2"/>
        <v>660</v>
      </c>
    </row>
    <row r="94" spans="1:6" ht="18" customHeight="1" x14ac:dyDescent="0.25">
      <c r="A94" s="26">
        <v>46111</v>
      </c>
      <c r="B94" s="27" t="s">
        <v>247</v>
      </c>
      <c r="C94" s="17" t="str">
        <f>IFERROR(VLOOKUP(B94,Productos!$A:$B,2,0),"")</f>
        <v>Micrófono USB</v>
      </c>
      <c r="D94" s="27">
        <v>10</v>
      </c>
      <c r="E94" s="109">
        <f>IFERROR(VLOOKUP(B94,Productos!$A:$D,4,0),"")</f>
        <v>32</v>
      </c>
      <c r="F94" s="109">
        <f t="shared" si="2"/>
        <v>320</v>
      </c>
    </row>
    <row r="95" spans="1:6" ht="18" customHeight="1" x14ac:dyDescent="0.25">
      <c r="A95" s="29">
        <v>46111</v>
      </c>
      <c r="B95" s="30" t="s">
        <v>250</v>
      </c>
      <c r="C95" s="21" t="str">
        <f>IFERROR(VLOOKUP(B95,Productos!$A:$B,2,0),"")</f>
        <v>Micrófono Pro</v>
      </c>
      <c r="D95" s="30">
        <v>9</v>
      </c>
      <c r="E95" s="110">
        <f>IFERROR(VLOOKUP(B95,Productos!$A:$D,4,0),"")</f>
        <v>70</v>
      </c>
      <c r="F95" s="110">
        <f t="shared" si="2"/>
        <v>630</v>
      </c>
    </row>
    <row r="96" spans="1:6" ht="18" customHeight="1" x14ac:dyDescent="0.25">
      <c r="A96" s="26">
        <v>46111</v>
      </c>
      <c r="B96" s="27" t="s">
        <v>252</v>
      </c>
      <c r="C96" s="17" t="str">
        <f>IFERROR(VLOOKUP(B96,Productos!$A:$B,2,0),"")</f>
        <v>Brazo Micrófono</v>
      </c>
      <c r="D96" s="27">
        <v>11</v>
      </c>
      <c r="E96" s="109">
        <f>IFERROR(VLOOKUP(B96,Productos!$A:$D,4,0),"")</f>
        <v>18</v>
      </c>
      <c r="F96" s="109">
        <f t="shared" si="2"/>
        <v>198</v>
      </c>
    </row>
    <row r="97" spans="1:6" ht="18" customHeight="1" x14ac:dyDescent="0.25">
      <c r="A97" s="29">
        <v>46111</v>
      </c>
      <c r="B97" s="30" t="s">
        <v>254</v>
      </c>
      <c r="C97" s="21" t="str">
        <f>IFERROR(VLOOKUP(B97,Productos!$A:$B,2,0),"")</f>
        <v>Kit Streaming</v>
      </c>
      <c r="D97" s="30">
        <v>7</v>
      </c>
      <c r="E97" s="110">
        <f>IFERROR(VLOOKUP(B97,Productos!$A:$D,4,0),"")</f>
        <v>95</v>
      </c>
      <c r="F97" s="110">
        <f t="shared" si="2"/>
        <v>665</v>
      </c>
    </row>
    <row r="98" spans="1:6" ht="18" customHeight="1" x14ac:dyDescent="0.25">
      <c r="A98" s="26">
        <v>46111</v>
      </c>
      <c r="B98" s="27" t="s">
        <v>256</v>
      </c>
      <c r="C98" s="17" t="str">
        <f>IFERROR(VLOOKUP(B98,Productos!$A:$B,2,0),"")</f>
        <v>Capturadora Video</v>
      </c>
      <c r="D98" s="27">
        <v>8</v>
      </c>
      <c r="E98" s="109">
        <f>IFERROR(VLOOKUP(B98,Productos!$A:$D,4,0),"")</f>
        <v>85</v>
      </c>
      <c r="F98" s="109">
        <f t="shared" si="2"/>
        <v>680</v>
      </c>
    </row>
    <row r="99" spans="1:6" ht="18" customHeight="1" x14ac:dyDescent="0.25">
      <c r="A99" s="29">
        <v>46111</v>
      </c>
      <c r="B99" s="30" t="s">
        <v>258</v>
      </c>
      <c r="C99" s="21" t="str">
        <f>IFERROR(VLOOKUP(B99,Productos!$A:$B,2,0),"")</f>
        <v>Tarjeta Gráfica Mini</v>
      </c>
      <c r="D99" s="30">
        <v>6</v>
      </c>
      <c r="E99" s="110">
        <f>IFERROR(VLOOKUP(B99,Productos!$A:$D,4,0),"")</f>
        <v>180</v>
      </c>
      <c r="F99" s="110">
        <f t="shared" si="2"/>
        <v>1080</v>
      </c>
    </row>
    <row r="100" spans="1:6" ht="18" customHeight="1" x14ac:dyDescent="0.25">
      <c r="A100" s="26">
        <v>46111</v>
      </c>
      <c r="B100" s="27" t="s">
        <v>260</v>
      </c>
      <c r="C100" s="17" t="str">
        <f>IFERROR(VLOOKUP(B100,Productos!$A:$B,2,0),"")</f>
        <v>Tarjeta Gráfica Pro</v>
      </c>
      <c r="D100" s="27">
        <v>5</v>
      </c>
      <c r="E100" s="109">
        <f>IFERROR(VLOOKUP(B100,Productos!$A:$D,4,0),"")</f>
        <v>320</v>
      </c>
      <c r="F100" s="109">
        <f t="shared" ref="F100:F103" si="3">IFERROR(D100*E100,"")</f>
        <v>1600</v>
      </c>
    </row>
    <row r="101" spans="1:6" ht="18" customHeight="1" x14ac:dyDescent="0.25">
      <c r="A101" s="29">
        <v>46111</v>
      </c>
      <c r="B101" s="30" t="s">
        <v>262</v>
      </c>
      <c r="C101" s="21" t="str">
        <f>IFERROR(VLOOKUP(B101,Productos!$A:$B,2,0),"")</f>
        <v>Memoria RAM 16GB</v>
      </c>
      <c r="D101" s="30">
        <v>13</v>
      </c>
      <c r="E101" s="110">
        <f>IFERROR(VLOOKUP(B101,Productos!$A:$D,4,0),"")</f>
        <v>45</v>
      </c>
      <c r="F101" s="110">
        <f t="shared" si="3"/>
        <v>585</v>
      </c>
    </row>
    <row r="102" spans="1:6" ht="18" customHeight="1" x14ac:dyDescent="0.25">
      <c r="A102" s="26">
        <v>46111</v>
      </c>
      <c r="B102" s="27" t="s">
        <v>264</v>
      </c>
      <c r="C102" s="17" t="str">
        <f>IFERROR(VLOOKUP(B102,Productos!$A:$B,2,0),"")</f>
        <v>Memoria RAM 32GB</v>
      </c>
      <c r="D102" s="27">
        <v>12</v>
      </c>
      <c r="E102" s="109">
        <f>IFERROR(VLOOKUP(B102,Productos!$A:$D,4,0),"")</f>
        <v>82</v>
      </c>
      <c r="F102" s="109">
        <f t="shared" si="3"/>
        <v>984</v>
      </c>
    </row>
    <row r="103" spans="1:6" ht="18" customHeight="1" x14ac:dyDescent="0.25">
      <c r="A103" s="29">
        <v>46111</v>
      </c>
      <c r="B103" s="30" t="s">
        <v>266</v>
      </c>
      <c r="C103" s="21" t="str">
        <f>IFERROR(VLOOKUP(B103,Productos!$A:$B,2,0),"")</f>
        <v>Procesador CoreX</v>
      </c>
      <c r="D103" s="30">
        <v>9</v>
      </c>
      <c r="E103" s="110">
        <f>IFERROR(VLOOKUP(B103,Productos!$A:$D,4,0),"")</f>
        <v>210</v>
      </c>
      <c r="F103" s="110">
        <f t="shared" si="3"/>
        <v>1890</v>
      </c>
    </row>
    <row r="104" spans="1:6" ht="24.75" customHeight="1" x14ac:dyDescent="0.25">
      <c r="A104" s="75" t="s">
        <v>273</v>
      </c>
      <c r="B104" s="75"/>
      <c r="C104" s="75"/>
      <c r="D104" s="75"/>
      <c r="E104" s="75"/>
      <c r="F104" s="111">
        <f>SUM(F4:F103)</f>
        <v>92608</v>
      </c>
    </row>
  </sheetData>
  <mergeCells count="3">
    <mergeCell ref="A104:E104"/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AE60"/>
  </sheetPr>
  <dimension ref="A1:F104"/>
  <sheetViews>
    <sheetView showGridLines="0" zoomScaleNormal="100" workbookViewId="0">
      <pane ySplit="3" topLeftCell="A4" activePane="bottomLeft" state="frozen"/>
      <selection pane="bottomLeft" activeCell="A3" sqref="A3"/>
    </sheetView>
  </sheetViews>
  <sheetFormatPr baseColWidth="10" defaultColWidth="8.7109375" defaultRowHeight="15" x14ac:dyDescent="0.25"/>
  <cols>
    <col min="1" max="1" width="16" customWidth="1"/>
    <col min="2" max="2" width="14" customWidth="1"/>
    <col min="3" max="3" width="28" customWidth="1"/>
    <col min="4" max="4" width="12" customWidth="1"/>
    <col min="5" max="6" width="20" customWidth="1"/>
  </cols>
  <sheetData>
    <row r="1" spans="1:6" ht="39.75" customHeight="1" x14ac:dyDescent="0.25">
      <c r="A1" s="72" t="s">
        <v>274</v>
      </c>
      <c r="B1" s="72"/>
      <c r="C1" s="72"/>
      <c r="D1" s="72"/>
      <c r="E1" s="72"/>
      <c r="F1" s="72"/>
    </row>
    <row r="2" spans="1:6" ht="19.5" customHeight="1" x14ac:dyDescent="0.25">
      <c r="A2" s="113" t="s">
        <v>285</v>
      </c>
      <c r="B2" s="60"/>
      <c r="C2" s="60"/>
      <c r="D2" s="60"/>
      <c r="E2" s="60"/>
      <c r="F2" s="60"/>
    </row>
    <row r="3" spans="1:6" ht="30" customHeight="1" x14ac:dyDescent="0.25">
      <c r="A3" s="13" t="s">
        <v>270</v>
      </c>
      <c r="B3" s="13" t="s">
        <v>57</v>
      </c>
      <c r="C3" s="13" t="s">
        <v>58</v>
      </c>
      <c r="D3" s="13" t="s">
        <v>271</v>
      </c>
      <c r="E3" s="13" t="s">
        <v>275</v>
      </c>
      <c r="F3" s="13" t="s">
        <v>276</v>
      </c>
    </row>
    <row r="4" spans="1:6" ht="18" customHeight="1" x14ac:dyDescent="0.25">
      <c r="A4" s="26">
        <v>46024</v>
      </c>
      <c r="B4" s="27" t="s">
        <v>62</v>
      </c>
      <c r="C4" s="17" t="str">
        <f>IFERROR(VLOOKUP(B4,Productos!$A:$B,2,0),"")</f>
        <v>Laptop X1</v>
      </c>
      <c r="D4" s="27">
        <v>3</v>
      </c>
      <c r="E4" s="28">
        <f>IFERROR(VLOOKUP(B4,Productos!$A:$E,5,0),"")</f>
        <v>920</v>
      </c>
      <c r="F4" s="28">
        <f t="shared" ref="F4:F35" si="0">IFERROR(D4*E4,"")</f>
        <v>2760</v>
      </c>
    </row>
    <row r="5" spans="1:6" ht="18" customHeight="1" x14ac:dyDescent="0.25">
      <c r="A5" s="29">
        <v>46025</v>
      </c>
      <c r="B5" s="30" t="s">
        <v>64</v>
      </c>
      <c r="C5" s="21" t="str">
        <f>IFERROR(VLOOKUP(B5,Productos!$A:$B,2,0),"")</f>
        <v>Laptop AirLite</v>
      </c>
      <c r="D5" s="30">
        <v>2</v>
      </c>
      <c r="E5" s="31">
        <f>IFERROR(VLOOKUP(B5,Productos!$A:$E,5,0),"")</f>
        <v>820</v>
      </c>
      <c r="F5" s="31">
        <f t="shared" si="0"/>
        <v>1640</v>
      </c>
    </row>
    <row r="6" spans="1:6" ht="18" customHeight="1" x14ac:dyDescent="0.25">
      <c r="A6" s="26">
        <v>46026</v>
      </c>
      <c r="B6" s="27" t="s">
        <v>66</v>
      </c>
      <c r="C6" s="17" t="str">
        <f>IFERROR(VLOOKUP(B6,Productos!$A:$B,2,0),"")</f>
        <v>Laptop ProMax</v>
      </c>
      <c r="D6" s="27">
        <v>1</v>
      </c>
      <c r="E6" s="28">
        <f>IFERROR(VLOOKUP(B6,Productos!$A:$E,5,0),"")</f>
        <v>1150</v>
      </c>
      <c r="F6" s="28">
        <f t="shared" si="0"/>
        <v>1150</v>
      </c>
    </row>
    <row r="7" spans="1:6" ht="18" customHeight="1" x14ac:dyDescent="0.25">
      <c r="A7" s="29">
        <v>46027</v>
      </c>
      <c r="B7" s="30" t="s">
        <v>68</v>
      </c>
      <c r="C7" s="21" t="str">
        <f>IFERROR(VLOOKUP(B7,Productos!$A:$B,2,0),"")</f>
        <v>Mini Laptop Go</v>
      </c>
      <c r="D7" s="30">
        <v>4</v>
      </c>
      <c r="E7" s="31">
        <f>IFERROR(VLOOKUP(B7,Productos!$A:$E,5,0),"")</f>
        <v>640</v>
      </c>
      <c r="F7" s="31">
        <f t="shared" si="0"/>
        <v>2560</v>
      </c>
    </row>
    <row r="8" spans="1:6" ht="18" customHeight="1" x14ac:dyDescent="0.25">
      <c r="A8" s="26">
        <v>46028</v>
      </c>
      <c r="B8" s="27" t="s">
        <v>70</v>
      </c>
      <c r="C8" s="17" t="str">
        <f>IFERROR(VLOOKUP(B8,Productos!$A:$B,2,0),"")</f>
        <v>Laptop Studio</v>
      </c>
      <c r="D8" s="27">
        <v>2</v>
      </c>
      <c r="E8" s="28">
        <f>IFERROR(VLOOKUP(B8,Productos!$A:$E,5,0),"")</f>
        <v>1290</v>
      </c>
      <c r="F8" s="28">
        <f t="shared" si="0"/>
        <v>2580</v>
      </c>
    </row>
    <row r="9" spans="1:6" ht="18" customHeight="1" x14ac:dyDescent="0.25">
      <c r="A9" s="29">
        <v>46029</v>
      </c>
      <c r="B9" s="30" t="s">
        <v>72</v>
      </c>
      <c r="C9" s="21" t="str">
        <f>IFERROR(VLOOKUP(B9,Productos!$A:$B,2,0),"")</f>
        <v>Mouse Gamer RGB</v>
      </c>
      <c r="D9" s="30">
        <v>6</v>
      </c>
      <c r="E9" s="31">
        <f>IFERROR(VLOOKUP(B9,Productos!$A:$E,5,0),"")</f>
        <v>42</v>
      </c>
      <c r="F9" s="31">
        <f t="shared" si="0"/>
        <v>252</v>
      </c>
    </row>
    <row r="10" spans="1:6" ht="18" customHeight="1" x14ac:dyDescent="0.25">
      <c r="A10" s="26">
        <v>46030</v>
      </c>
      <c r="B10" s="27" t="s">
        <v>74</v>
      </c>
      <c r="C10" s="17" t="str">
        <f>IFERROR(VLOOKUP(B10,Productos!$A:$B,2,0),"")</f>
        <v>Mouse Wireless Pro</v>
      </c>
      <c r="D10" s="27">
        <v>5</v>
      </c>
      <c r="E10" s="28">
        <f>IFERROR(VLOOKUP(B10,Productos!$A:$E,5,0),"")</f>
        <v>48</v>
      </c>
      <c r="F10" s="28">
        <f t="shared" si="0"/>
        <v>240</v>
      </c>
    </row>
    <row r="11" spans="1:6" ht="18" customHeight="1" x14ac:dyDescent="0.25">
      <c r="A11" s="29">
        <v>46031</v>
      </c>
      <c r="B11" s="30" t="s">
        <v>76</v>
      </c>
      <c r="C11" s="21" t="str">
        <f>IFERROR(VLOOKUP(B11,Productos!$A:$B,2,0),"")</f>
        <v>Mouse Office Silent</v>
      </c>
      <c r="D11" s="30">
        <v>7</v>
      </c>
      <c r="E11" s="31">
        <f>IFERROR(VLOOKUP(B11,Productos!$A:$E,5,0),"")</f>
        <v>30</v>
      </c>
      <c r="F11" s="31">
        <f t="shared" si="0"/>
        <v>210</v>
      </c>
    </row>
    <row r="12" spans="1:6" ht="18" customHeight="1" x14ac:dyDescent="0.25">
      <c r="A12" s="26">
        <v>46032</v>
      </c>
      <c r="B12" s="27" t="s">
        <v>78</v>
      </c>
      <c r="C12" s="17" t="str">
        <f>IFERROR(VLOOKUP(B12,Productos!$A:$B,2,0),"")</f>
        <v>Mouse UltraLight</v>
      </c>
      <c r="D12" s="27">
        <v>3</v>
      </c>
      <c r="E12" s="28">
        <f>IFERROR(VLOOKUP(B12,Productos!$A:$E,5,0),"")</f>
        <v>55</v>
      </c>
      <c r="F12" s="28">
        <f t="shared" si="0"/>
        <v>165</v>
      </c>
    </row>
    <row r="13" spans="1:6" ht="18" customHeight="1" x14ac:dyDescent="0.25">
      <c r="A13" s="29">
        <v>46033</v>
      </c>
      <c r="B13" s="30" t="s">
        <v>80</v>
      </c>
      <c r="C13" s="21" t="str">
        <f>IFERROR(VLOOKUP(B13,Productos!$A:$B,2,0),"")</f>
        <v>Mouse Precision</v>
      </c>
      <c r="D13" s="30">
        <v>4</v>
      </c>
      <c r="E13" s="31">
        <f>IFERROR(VLOOKUP(B13,Productos!$A:$E,5,0),"")</f>
        <v>40</v>
      </c>
      <c r="F13" s="31">
        <f t="shared" si="0"/>
        <v>160</v>
      </c>
    </row>
    <row r="14" spans="1:6" ht="18" customHeight="1" x14ac:dyDescent="0.25">
      <c r="A14" s="26">
        <v>46034</v>
      </c>
      <c r="B14" s="27" t="s">
        <v>82</v>
      </c>
      <c r="C14" s="17" t="str">
        <f>IFERROR(VLOOKUP(B14,Productos!$A:$B,2,0),"")</f>
        <v>Teclado Mecánico Red</v>
      </c>
      <c r="D14" s="27">
        <v>2</v>
      </c>
      <c r="E14" s="28">
        <f>IFERROR(VLOOKUP(B14,Productos!$A:$E,5,0),"")</f>
        <v>95</v>
      </c>
      <c r="F14" s="28">
        <f t="shared" si="0"/>
        <v>190</v>
      </c>
    </row>
    <row r="15" spans="1:6" ht="18" customHeight="1" x14ac:dyDescent="0.25">
      <c r="A15" s="29">
        <v>46035</v>
      </c>
      <c r="B15" s="30" t="s">
        <v>84</v>
      </c>
      <c r="C15" s="21" t="str">
        <f>IFERROR(VLOOKUP(B15,Productos!$A:$B,2,0),"")</f>
        <v>Teclado Mecánico Blue</v>
      </c>
      <c r="D15" s="30">
        <v>2</v>
      </c>
      <c r="E15" s="31">
        <f>IFERROR(VLOOKUP(B15,Productos!$A:$E,5,0),"")</f>
        <v>99</v>
      </c>
      <c r="F15" s="31">
        <f t="shared" si="0"/>
        <v>198</v>
      </c>
    </row>
    <row r="16" spans="1:6" ht="18" customHeight="1" x14ac:dyDescent="0.25">
      <c r="A16" s="26">
        <v>46036</v>
      </c>
      <c r="B16" s="27" t="s">
        <v>86</v>
      </c>
      <c r="C16" s="17" t="str">
        <f>IFERROR(VLOOKUP(B16,Productos!$A:$B,2,0),"")</f>
        <v>Teclado Compacto</v>
      </c>
      <c r="D16" s="27">
        <v>3</v>
      </c>
      <c r="E16" s="28">
        <f>IFERROR(VLOOKUP(B16,Productos!$A:$E,5,0),"")</f>
        <v>65</v>
      </c>
      <c r="F16" s="28">
        <f t="shared" si="0"/>
        <v>195</v>
      </c>
    </row>
    <row r="17" spans="1:6" ht="18" customHeight="1" x14ac:dyDescent="0.25">
      <c r="A17" s="29">
        <v>46037</v>
      </c>
      <c r="B17" s="30" t="s">
        <v>88</v>
      </c>
      <c r="C17" s="21" t="str">
        <f>IFERROR(VLOOKUP(B17,Productos!$A:$B,2,0),"")</f>
        <v>Teclado Wireless Slim</v>
      </c>
      <c r="D17" s="30">
        <v>3</v>
      </c>
      <c r="E17" s="31">
        <f>IFERROR(VLOOKUP(B17,Productos!$A:$E,5,0),"")</f>
        <v>70</v>
      </c>
      <c r="F17" s="31">
        <f t="shared" si="0"/>
        <v>210</v>
      </c>
    </row>
    <row r="18" spans="1:6" ht="18" customHeight="1" x14ac:dyDescent="0.25">
      <c r="A18" s="26">
        <v>46038</v>
      </c>
      <c r="B18" s="27" t="s">
        <v>90</v>
      </c>
      <c r="C18" s="17" t="str">
        <f>IFERROR(VLOOKUP(B18,Productos!$A:$B,2,0),"")</f>
        <v>Teclado Office Basic</v>
      </c>
      <c r="D18" s="27">
        <v>4</v>
      </c>
      <c r="E18" s="28">
        <f>IFERROR(VLOOKUP(B18,Productos!$A:$E,5,0),"")</f>
        <v>42</v>
      </c>
      <c r="F18" s="28">
        <f t="shared" si="0"/>
        <v>168</v>
      </c>
    </row>
    <row r="19" spans="1:6" ht="18" customHeight="1" x14ac:dyDescent="0.25">
      <c r="A19" s="29">
        <v>46039</v>
      </c>
      <c r="B19" s="30" t="s">
        <v>92</v>
      </c>
      <c r="C19" s="21" t="str">
        <f>IFERROR(VLOOKUP(B19,Productos!$A:$B,2,0),"")</f>
        <v>Monitor 24HD</v>
      </c>
      <c r="D19" s="30">
        <v>1</v>
      </c>
      <c r="E19" s="31">
        <f>IFERROR(VLOOKUP(B19,Productos!$A:$E,5,0),"")</f>
        <v>180</v>
      </c>
      <c r="F19" s="31">
        <f t="shared" si="0"/>
        <v>180</v>
      </c>
    </row>
    <row r="20" spans="1:6" ht="18" customHeight="1" x14ac:dyDescent="0.25">
      <c r="A20" s="26">
        <v>46040</v>
      </c>
      <c r="B20" s="27" t="s">
        <v>94</v>
      </c>
      <c r="C20" s="17" t="str">
        <f>IFERROR(VLOOKUP(B20,Productos!$A:$B,2,0),"")</f>
        <v>Monitor 27HD</v>
      </c>
      <c r="D20" s="27">
        <v>1</v>
      </c>
      <c r="E20" s="28">
        <f>IFERROR(VLOOKUP(B20,Productos!$A:$E,5,0),"")</f>
        <v>230</v>
      </c>
      <c r="F20" s="28">
        <f t="shared" si="0"/>
        <v>230</v>
      </c>
    </row>
    <row r="21" spans="1:6" ht="18" customHeight="1" x14ac:dyDescent="0.25">
      <c r="A21" s="29">
        <v>46041</v>
      </c>
      <c r="B21" s="30" t="s">
        <v>96</v>
      </c>
      <c r="C21" s="21" t="str">
        <f>IFERROR(VLOOKUP(B21,Productos!$A:$B,2,0),"")</f>
        <v>Monitor 24 Gaming</v>
      </c>
      <c r="D21" s="30">
        <v>2</v>
      </c>
      <c r="E21" s="31">
        <f>IFERROR(VLOOKUP(B21,Productos!$A:$E,5,0),"")</f>
        <v>270</v>
      </c>
      <c r="F21" s="31">
        <f t="shared" si="0"/>
        <v>540</v>
      </c>
    </row>
    <row r="22" spans="1:6" ht="18" customHeight="1" x14ac:dyDescent="0.25">
      <c r="A22" s="26">
        <v>46042</v>
      </c>
      <c r="B22" s="27" t="s">
        <v>98</v>
      </c>
      <c r="C22" s="17" t="str">
        <f>IFERROR(VLOOKUP(B22,Productos!$A:$B,2,0),"")</f>
        <v>Monitor 32 Curvo</v>
      </c>
      <c r="D22" s="27">
        <v>1</v>
      </c>
      <c r="E22" s="28">
        <f>IFERROR(VLOOKUP(B22,Productos!$A:$E,5,0),"")</f>
        <v>360</v>
      </c>
      <c r="F22" s="28">
        <f t="shared" si="0"/>
        <v>360</v>
      </c>
    </row>
    <row r="23" spans="1:6" ht="18" customHeight="1" x14ac:dyDescent="0.25">
      <c r="A23" s="29">
        <v>46043</v>
      </c>
      <c r="B23" s="30" t="s">
        <v>100</v>
      </c>
      <c r="C23" s="21" t="str">
        <f>IFERROR(VLOOKUP(B23,Productos!$A:$B,2,0),"")</f>
        <v>Monitor UltraWide</v>
      </c>
      <c r="D23" s="30">
        <v>1</v>
      </c>
      <c r="E23" s="31">
        <f>IFERROR(VLOOKUP(B23,Productos!$A:$E,5,0),"")</f>
        <v>420</v>
      </c>
      <c r="F23" s="31">
        <f t="shared" si="0"/>
        <v>420</v>
      </c>
    </row>
    <row r="24" spans="1:6" ht="18" customHeight="1" x14ac:dyDescent="0.25">
      <c r="A24" s="26">
        <v>46044</v>
      </c>
      <c r="B24" s="27" t="s">
        <v>102</v>
      </c>
      <c r="C24" s="17" t="str">
        <f>IFERROR(VLOOKUP(B24,Productos!$A:$B,2,0),"")</f>
        <v>Webcam HD</v>
      </c>
      <c r="D24" s="27">
        <v>5</v>
      </c>
      <c r="E24" s="28">
        <f>IFERROR(VLOOKUP(B24,Productos!$A:$E,5,0),"")</f>
        <v>55</v>
      </c>
      <c r="F24" s="28">
        <f t="shared" si="0"/>
        <v>275</v>
      </c>
    </row>
    <row r="25" spans="1:6" ht="18" customHeight="1" x14ac:dyDescent="0.25">
      <c r="A25" s="29">
        <v>46045</v>
      </c>
      <c r="B25" s="30" t="s">
        <v>104</v>
      </c>
      <c r="C25" s="21" t="str">
        <f>IFERROR(VLOOKUP(B25,Productos!$A:$B,2,0),"")</f>
        <v>Webcam FullHD</v>
      </c>
      <c r="D25" s="30">
        <v>4</v>
      </c>
      <c r="E25" s="31">
        <f>IFERROR(VLOOKUP(B25,Productos!$A:$E,5,0),"")</f>
        <v>68</v>
      </c>
      <c r="F25" s="31">
        <f t="shared" si="0"/>
        <v>272</v>
      </c>
    </row>
    <row r="26" spans="1:6" ht="18" customHeight="1" x14ac:dyDescent="0.25">
      <c r="A26" s="26">
        <v>46046</v>
      </c>
      <c r="B26" s="27" t="s">
        <v>106</v>
      </c>
      <c r="C26" s="17" t="str">
        <f>IFERROR(VLOOKUP(B26,Productos!$A:$B,2,0),"")</f>
        <v>Webcam Pro Stream</v>
      </c>
      <c r="D26" s="27">
        <v>2</v>
      </c>
      <c r="E26" s="28">
        <f>IFERROR(VLOOKUP(B26,Productos!$A:$E,5,0),"")</f>
        <v>110</v>
      </c>
      <c r="F26" s="28">
        <f t="shared" si="0"/>
        <v>220</v>
      </c>
    </row>
    <row r="27" spans="1:6" ht="18" customHeight="1" x14ac:dyDescent="0.25">
      <c r="A27" s="29">
        <v>46047</v>
      </c>
      <c r="B27" s="30" t="s">
        <v>108</v>
      </c>
      <c r="C27" s="21" t="str">
        <f>IFERROR(VLOOKUP(B27,Productos!$A:$B,2,0),"")</f>
        <v>Webcam Compact</v>
      </c>
      <c r="D27" s="30">
        <v>3</v>
      </c>
      <c r="E27" s="31">
        <f>IFERROR(VLOOKUP(B27,Productos!$A:$E,5,0),"")</f>
        <v>48</v>
      </c>
      <c r="F27" s="31">
        <f t="shared" si="0"/>
        <v>144</v>
      </c>
    </row>
    <row r="28" spans="1:6" ht="18" customHeight="1" x14ac:dyDescent="0.25">
      <c r="A28" s="26">
        <v>46048</v>
      </c>
      <c r="B28" s="27" t="s">
        <v>110</v>
      </c>
      <c r="C28" s="17" t="str">
        <f>IFERROR(VLOOKUP(B28,Productos!$A:$B,2,0),"")</f>
        <v>Webcam UltraWide</v>
      </c>
      <c r="D28" s="27">
        <v>2</v>
      </c>
      <c r="E28" s="28">
        <f>IFERROR(VLOOKUP(B28,Productos!$A:$E,5,0),"")</f>
        <v>120</v>
      </c>
      <c r="F28" s="28">
        <f t="shared" si="0"/>
        <v>240</v>
      </c>
    </row>
    <row r="29" spans="1:6" ht="18" customHeight="1" x14ac:dyDescent="0.25">
      <c r="A29" s="29">
        <v>46049</v>
      </c>
      <c r="B29" s="30" t="s">
        <v>112</v>
      </c>
      <c r="C29" s="21" t="str">
        <f>IFERROR(VLOOKUP(B29,Productos!$A:$B,2,0),"")</f>
        <v>SSD 256GB</v>
      </c>
      <c r="D29" s="30">
        <v>5</v>
      </c>
      <c r="E29" s="31">
        <f>IFERROR(VLOOKUP(B29,Productos!$A:$E,5,0),"")</f>
        <v>70</v>
      </c>
      <c r="F29" s="31">
        <f t="shared" si="0"/>
        <v>350</v>
      </c>
    </row>
    <row r="30" spans="1:6" ht="18" customHeight="1" x14ac:dyDescent="0.25">
      <c r="A30" s="26">
        <v>46050</v>
      </c>
      <c r="B30" s="27" t="s">
        <v>114</v>
      </c>
      <c r="C30" s="17" t="str">
        <f>IFERROR(VLOOKUP(B30,Productos!$A:$B,2,0),"")</f>
        <v>SSD 512GB</v>
      </c>
      <c r="D30" s="27">
        <v>4</v>
      </c>
      <c r="E30" s="28">
        <f>IFERROR(VLOOKUP(B30,Productos!$A:$E,5,0),"")</f>
        <v>105</v>
      </c>
      <c r="F30" s="28">
        <f t="shared" si="0"/>
        <v>420</v>
      </c>
    </row>
    <row r="31" spans="1:6" ht="18" customHeight="1" x14ac:dyDescent="0.25">
      <c r="A31" s="29">
        <v>46051</v>
      </c>
      <c r="B31" s="30" t="s">
        <v>116</v>
      </c>
      <c r="C31" s="21" t="str">
        <f>IFERROR(VLOOKUP(B31,Productos!$A:$B,2,0),"")</f>
        <v>SSD 1TB</v>
      </c>
      <c r="D31" s="30">
        <v>3</v>
      </c>
      <c r="E31" s="31">
        <f>IFERROR(VLOOKUP(B31,Productos!$A:$E,5,0),"")</f>
        <v>160</v>
      </c>
      <c r="F31" s="31">
        <f t="shared" si="0"/>
        <v>480</v>
      </c>
    </row>
    <row r="32" spans="1:6" ht="18" customHeight="1" x14ac:dyDescent="0.25">
      <c r="A32" s="26">
        <v>46052</v>
      </c>
      <c r="B32" s="27" t="s">
        <v>118</v>
      </c>
      <c r="C32" s="17" t="str">
        <f>IFERROR(VLOOKUP(B32,Productos!$A:$B,2,0),"")</f>
        <v>SSD 2TB</v>
      </c>
      <c r="D32" s="27">
        <v>2</v>
      </c>
      <c r="E32" s="28">
        <f>IFERROR(VLOOKUP(B32,Productos!$A:$E,5,0),"")</f>
        <v>280</v>
      </c>
      <c r="F32" s="28">
        <f t="shared" si="0"/>
        <v>560</v>
      </c>
    </row>
    <row r="33" spans="1:6" ht="18" customHeight="1" x14ac:dyDescent="0.25">
      <c r="A33" s="29">
        <v>46053</v>
      </c>
      <c r="B33" s="30" t="s">
        <v>120</v>
      </c>
      <c r="C33" s="21" t="str">
        <f>IFERROR(VLOOKUP(B33,Productos!$A:$B,2,0),"")</f>
        <v>SSD Portable 1TB</v>
      </c>
      <c r="D33" s="30">
        <v>2</v>
      </c>
      <c r="E33" s="31">
        <f>IFERROR(VLOOKUP(B33,Productos!$A:$E,5,0),"")</f>
        <v>175</v>
      </c>
      <c r="F33" s="31">
        <f t="shared" si="0"/>
        <v>350</v>
      </c>
    </row>
    <row r="34" spans="1:6" ht="18" customHeight="1" x14ac:dyDescent="0.25">
      <c r="A34" s="26">
        <v>46054</v>
      </c>
      <c r="B34" s="27" t="s">
        <v>122</v>
      </c>
      <c r="C34" s="17" t="str">
        <f>IFERROR(VLOOKUP(B34,Productos!$A:$B,2,0),"")</f>
        <v>Disco HDD 1TB</v>
      </c>
      <c r="D34" s="27">
        <v>3</v>
      </c>
      <c r="E34" s="28">
        <f>IFERROR(VLOOKUP(B34,Productos!$A:$E,5,0),"")</f>
        <v>75</v>
      </c>
      <c r="F34" s="28">
        <f t="shared" si="0"/>
        <v>225</v>
      </c>
    </row>
    <row r="35" spans="1:6" ht="18" customHeight="1" x14ac:dyDescent="0.25">
      <c r="A35" s="29">
        <v>46055</v>
      </c>
      <c r="B35" s="30" t="s">
        <v>124</v>
      </c>
      <c r="C35" s="21" t="str">
        <f>IFERROR(VLOOKUP(B35,Productos!$A:$B,2,0),"")</f>
        <v>Disco HDD 2TB</v>
      </c>
      <c r="D35" s="30">
        <v>3</v>
      </c>
      <c r="E35" s="31">
        <f>IFERROR(VLOOKUP(B35,Productos!$A:$E,5,0),"")</f>
        <v>95</v>
      </c>
      <c r="F35" s="31">
        <f t="shared" si="0"/>
        <v>285</v>
      </c>
    </row>
    <row r="36" spans="1:6" ht="18" customHeight="1" x14ac:dyDescent="0.25">
      <c r="A36" s="26">
        <v>46056</v>
      </c>
      <c r="B36" s="27" t="s">
        <v>126</v>
      </c>
      <c r="C36" s="17" t="str">
        <f>IFERROR(VLOOKUP(B36,Productos!$A:$B,2,0),"")</f>
        <v>Disco HDD 4TB</v>
      </c>
      <c r="D36" s="27">
        <v>2</v>
      </c>
      <c r="E36" s="28">
        <f>IFERROR(VLOOKUP(B36,Productos!$A:$E,5,0),"")</f>
        <v>150</v>
      </c>
      <c r="F36" s="28">
        <f t="shared" ref="F36:F67" si="1">IFERROR(D36*E36,"")</f>
        <v>300</v>
      </c>
    </row>
    <row r="37" spans="1:6" ht="18" customHeight="1" x14ac:dyDescent="0.25">
      <c r="A37" s="29">
        <v>46057</v>
      </c>
      <c r="B37" s="30" t="s">
        <v>128</v>
      </c>
      <c r="C37" s="21" t="str">
        <f>IFERROR(VLOOKUP(B37,Productos!$A:$B,2,0),"")</f>
        <v>Disco Externo 2TB</v>
      </c>
      <c r="D37" s="30">
        <v>2</v>
      </c>
      <c r="E37" s="31">
        <f>IFERROR(VLOOKUP(B37,Productos!$A:$E,5,0),"")</f>
        <v>135</v>
      </c>
      <c r="F37" s="31">
        <f t="shared" si="1"/>
        <v>270</v>
      </c>
    </row>
    <row r="38" spans="1:6" ht="18" customHeight="1" x14ac:dyDescent="0.25">
      <c r="A38" s="26">
        <v>46058</v>
      </c>
      <c r="B38" s="27" t="s">
        <v>130</v>
      </c>
      <c r="C38" s="17" t="str">
        <f>IFERROR(VLOOKUP(B38,Productos!$A:$B,2,0),"")</f>
        <v>Disco Externo 5TB</v>
      </c>
      <c r="D38" s="27">
        <v>1</v>
      </c>
      <c r="E38" s="28">
        <f>IFERROR(VLOOKUP(B38,Productos!$A:$E,5,0),"")</f>
        <v>220</v>
      </c>
      <c r="F38" s="28">
        <f t="shared" si="1"/>
        <v>220</v>
      </c>
    </row>
    <row r="39" spans="1:6" ht="18" customHeight="1" x14ac:dyDescent="0.25">
      <c r="A39" s="29">
        <v>46059</v>
      </c>
      <c r="B39" s="30" t="s">
        <v>132</v>
      </c>
      <c r="C39" s="21" t="str">
        <f>IFERROR(VLOOKUP(B39,Productos!$A:$B,2,0),"")</f>
        <v>Auriculares BT Lite</v>
      </c>
      <c r="D39" s="30">
        <v>4</v>
      </c>
      <c r="E39" s="31">
        <f>IFERROR(VLOOKUP(B39,Productos!$A:$E,5,0),"")</f>
        <v>55</v>
      </c>
      <c r="F39" s="31">
        <f t="shared" si="1"/>
        <v>220</v>
      </c>
    </row>
    <row r="40" spans="1:6" ht="18" customHeight="1" x14ac:dyDescent="0.25">
      <c r="A40" s="26">
        <v>46060</v>
      </c>
      <c r="B40" s="27" t="s">
        <v>134</v>
      </c>
      <c r="C40" s="17" t="str">
        <f>IFERROR(VLOOKUP(B40,Productos!$A:$B,2,0),"")</f>
        <v>Auriculares BT Pro</v>
      </c>
      <c r="D40" s="27">
        <v>3</v>
      </c>
      <c r="E40" s="28">
        <f>IFERROR(VLOOKUP(B40,Productos!$A:$E,5,0),"")</f>
        <v>75</v>
      </c>
      <c r="F40" s="28">
        <f t="shared" si="1"/>
        <v>225</v>
      </c>
    </row>
    <row r="41" spans="1:6" ht="18" customHeight="1" x14ac:dyDescent="0.25">
      <c r="A41" s="29">
        <v>46061</v>
      </c>
      <c r="B41" s="30" t="s">
        <v>136</v>
      </c>
      <c r="C41" s="21" t="str">
        <f>IFERROR(VLOOKUP(B41,Productos!$A:$B,2,0),"")</f>
        <v>Headset Gamer RGB</v>
      </c>
      <c r="D41" s="30">
        <v>3</v>
      </c>
      <c r="E41" s="31">
        <f>IFERROR(VLOOKUP(B41,Productos!$A:$E,5,0),"")</f>
        <v>95</v>
      </c>
      <c r="F41" s="31">
        <f t="shared" si="1"/>
        <v>285</v>
      </c>
    </row>
    <row r="42" spans="1:6" ht="18" customHeight="1" x14ac:dyDescent="0.25">
      <c r="A42" s="26">
        <v>46062</v>
      </c>
      <c r="B42" s="27" t="s">
        <v>138</v>
      </c>
      <c r="C42" s="17" t="str">
        <f>IFERROR(VLOOKUP(B42,Productos!$A:$B,2,0),"")</f>
        <v>Headset Studio</v>
      </c>
      <c r="D42" s="27">
        <v>2</v>
      </c>
      <c r="E42" s="28">
        <f>IFERROR(VLOOKUP(B42,Productos!$A:$E,5,0),"")</f>
        <v>120</v>
      </c>
      <c r="F42" s="28">
        <f t="shared" si="1"/>
        <v>240</v>
      </c>
    </row>
    <row r="43" spans="1:6" ht="18" customHeight="1" x14ac:dyDescent="0.25">
      <c r="A43" s="29">
        <v>46063</v>
      </c>
      <c r="B43" s="30" t="s">
        <v>140</v>
      </c>
      <c r="C43" s="21" t="str">
        <f>IFERROR(VLOOKUP(B43,Productos!$A:$B,2,0),"")</f>
        <v>Earbuds Wireless</v>
      </c>
      <c r="D43" s="30">
        <v>4</v>
      </c>
      <c r="E43" s="31">
        <f>IFERROR(VLOOKUP(B43,Productos!$A:$E,5,0),"")</f>
        <v>65</v>
      </c>
      <c r="F43" s="31">
        <f t="shared" si="1"/>
        <v>260</v>
      </c>
    </row>
    <row r="44" spans="1:6" ht="18" customHeight="1" x14ac:dyDescent="0.25">
      <c r="A44" s="26">
        <v>46064</v>
      </c>
      <c r="B44" s="27" t="s">
        <v>142</v>
      </c>
      <c r="C44" s="17" t="str">
        <f>IFERROR(VLOOKUP(B44,Productos!$A:$B,2,0),"")</f>
        <v>Router WiFi 5</v>
      </c>
      <c r="D44" s="27">
        <v>2</v>
      </c>
      <c r="E44" s="28">
        <f>IFERROR(VLOOKUP(B44,Productos!$A:$E,5,0),"")</f>
        <v>90</v>
      </c>
      <c r="F44" s="28">
        <f t="shared" si="1"/>
        <v>180</v>
      </c>
    </row>
    <row r="45" spans="1:6" ht="18" customHeight="1" x14ac:dyDescent="0.25">
      <c r="A45" s="29">
        <v>46065</v>
      </c>
      <c r="B45" s="30" t="s">
        <v>144</v>
      </c>
      <c r="C45" s="21" t="str">
        <f>IFERROR(VLOOKUP(B45,Productos!$A:$B,2,0),"")</f>
        <v>Router WiFi 6</v>
      </c>
      <c r="D45" s="30">
        <v>1</v>
      </c>
      <c r="E45" s="31">
        <f>IFERROR(VLOOKUP(B45,Productos!$A:$E,5,0),"")</f>
        <v>150</v>
      </c>
      <c r="F45" s="31">
        <f t="shared" si="1"/>
        <v>150</v>
      </c>
    </row>
    <row r="46" spans="1:6" ht="18" customHeight="1" x14ac:dyDescent="0.25">
      <c r="A46" s="26">
        <v>46066</v>
      </c>
      <c r="B46" s="27" t="s">
        <v>146</v>
      </c>
      <c r="C46" s="17" t="str">
        <f>IFERROR(VLOOKUP(B46,Productos!$A:$B,2,0),"")</f>
        <v>Router Mesh Node</v>
      </c>
      <c r="D46" s="27">
        <v>1</v>
      </c>
      <c r="E46" s="28">
        <f>IFERROR(VLOOKUP(B46,Productos!$A:$E,5,0),"")</f>
        <v>135</v>
      </c>
      <c r="F46" s="28">
        <f t="shared" si="1"/>
        <v>135</v>
      </c>
    </row>
    <row r="47" spans="1:6" ht="18" customHeight="1" x14ac:dyDescent="0.25">
      <c r="A47" s="29">
        <v>46067</v>
      </c>
      <c r="B47" s="30" t="s">
        <v>148</v>
      </c>
      <c r="C47" s="21" t="str">
        <f>IFERROR(VLOOKUP(B47,Productos!$A:$B,2,0),"")</f>
        <v>Extensor WiFi</v>
      </c>
      <c r="D47" s="30">
        <v>3</v>
      </c>
      <c r="E47" s="31">
        <f>IFERROR(VLOOKUP(B47,Productos!$A:$E,5,0),"")</f>
        <v>60</v>
      </c>
      <c r="F47" s="31">
        <f t="shared" si="1"/>
        <v>180</v>
      </c>
    </row>
    <row r="48" spans="1:6" ht="18" customHeight="1" x14ac:dyDescent="0.25">
      <c r="A48" s="26">
        <v>46068</v>
      </c>
      <c r="B48" s="27" t="s">
        <v>150</v>
      </c>
      <c r="C48" s="17" t="str">
        <f>IFERROR(VLOOKUP(B48,Productos!$A:$B,2,0),"")</f>
        <v>Switch 8 Puertos</v>
      </c>
      <c r="D48" s="27">
        <v>2</v>
      </c>
      <c r="E48" s="28">
        <f>IFERROR(VLOOKUP(B48,Productos!$A:$E,5,0),"")</f>
        <v>70</v>
      </c>
      <c r="F48" s="28">
        <f t="shared" si="1"/>
        <v>140</v>
      </c>
    </row>
    <row r="49" spans="1:6" ht="18" customHeight="1" x14ac:dyDescent="0.25">
      <c r="A49" s="29">
        <v>46069</v>
      </c>
      <c r="B49" s="30" t="s">
        <v>152</v>
      </c>
      <c r="C49" s="21" t="str">
        <f>IFERROR(VLOOKUP(B49,Productos!$A:$B,2,0),"")</f>
        <v>Cable HDMI 2m</v>
      </c>
      <c r="D49" s="30">
        <v>6</v>
      </c>
      <c r="E49" s="31">
        <f>IFERROR(VLOOKUP(B49,Productos!$A:$E,5,0),"")</f>
        <v>15</v>
      </c>
      <c r="F49" s="31">
        <f t="shared" si="1"/>
        <v>90</v>
      </c>
    </row>
    <row r="50" spans="1:6" ht="18" customHeight="1" x14ac:dyDescent="0.25">
      <c r="A50" s="26">
        <v>46070</v>
      </c>
      <c r="B50" s="27" t="s">
        <v>154</v>
      </c>
      <c r="C50" s="17" t="str">
        <f>IFERROR(VLOOKUP(B50,Productos!$A:$B,2,0),"")</f>
        <v>Cable HDMI 5m</v>
      </c>
      <c r="D50" s="27">
        <v>5</v>
      </c>
      <c r="E50" s="28">
        <f>IFERROR(VLOOKUP(B50,Productos!$A:$E,5,0),"")</f>
        <v>18</v>
      </c>
      <c r="F50" s="28">
        <f t="shared" si="1"/>
        <v>90</v>
      </c>
    </row>
    <row r="51" spans="1:6" ht="18" customHeight="1" x14ac:dyDescent="0.25">
      <c r="A51" s="29">
        <v>46071</v>
      </c>
      <c r="B51" s="30" t="s">
        <v>156</v>
      </c>
      <c r="C51" s="21" t="str">
        <f>IFERROR(VLOOKUP(B51,Productos!$A:$B,2,0),"")</f>
        <v>Cable USB-C</v>
      </c>
      <c r="D51" s="30">
        <v>5</v>
      </c>
      <c r="E51" s="31">
        <f>IFERROR(VLOOKUP(B51,Productos!$A:$E,5,0),"")</f>
        <v>16</v>
      </c>
      <c r="F51" s="31">
        <f t="shared" si="1"/>
        <v>80</v>
      </c>
    </row>
    <row r="52" spans="1:6" ht="18" customHeight="1" x14ac:dyDescent="0.25">
      <c r="A52" s="26">
        <v>46072</v>
      </c>
      <c r="B52" s="27" t="s">
        <v>158</v>
      </c>
      <c r="C52" s="17" t="str">
        <f>IFERROR(VLOOKUP(B52,Productos!$A:$B,2,0),"")</f>
        <v>Cable Ethernet Cat6</v>
      </c>
      <c r="D52" s="27">
        <v>6</v>
      </c>
      <c r="E52" s="28">
        <f>IFERROR(VLOOKUP(B52,Productos!$A:$E,5,0),"")</f>
        <v>12</v>
      </c>
      <c r="F52" s="28">
        <f t="shared" si="1"/>
        <v>72</v>
      </c>
    </row>
    <row r="53" spans="1:6" ht="18" customHeight="1" x14ac:dyDescent="0.25">
      <c r="A53" s="29">
        <v>46073</v>
      </c>
      <c r="B53" s="30" t="s">
        <v>160</v>
      </c>
      <c r="C53" s="21" t="str">
        <f>IFERROR(VLOOKUP(B53,Productos!$A:$B,2,0),"")</f>
        <v>Cable DisplayPort</v>
      </c>
      <c r="D53" s="30">
        <v>4</v>
      </c>
      <c r="E53" s="31">
        <f>IFERROR(VLOOKUP(B53,Productos!$A:$E,5,0),"")</f>
        <v>20</v>
      </c>
      <c r="F53" s="31">
        <f t="shared" si="1"/>
        <v>80</v>
      </c>
    </row>
    <row r="54" spans="1:6" ht="18" customHeight="1" x14ac:dyDescent="0.25">
      <c r="A54" s="26">
        <v>46074</v>
      </c>
      <c r="B54" s="27" t="s">
        <v>162</v>
      </c>
      <c r="C54" s="17" t="str">
        <f>IFERROR(VLOOKUP(B54,Productos!$A:$B,2,0),"")</f>
        <v>Tablet 8</v>
      </c>
      <c r="D54" s="27">
        <v>2</v>
      </c>
      <c r="E54" s="28">
        <f>IFERROR(VLOOKUP(B54,Productos!$A:$E,5,0),"")</f>
        <v>180</v>
      </c>
      <c r="F54" s="28">
        <f t="shared" si="1"/>
        <v>360</v>
      </c>
    </row>
    <row r="55" spans="1:6" ht="18" customHeight="1" x14ac:dyDescent="0.25">
      <c r="A55" s="29">
        <v>46075</v>
      </c>
      <c r="B55" s="30" t="s">
        <v>164</v>
      </c>
      <c r="C55" s="21" t="str">
        <f>IFERROR(VLOOKUP(B55,Productos!$A:$B,2,0),"")</f>
        <v>Tablet 10</v>
      </c>
      <c r="D55" s="30">
        <v>1</v>
      </c>
      <c r="E55" s="31">
        <f>IFERROR(VLOOKUP(B55,Productos!$A:$E,5,0),"")</f>
        <v>240</v>
      </c>
      <c r="F55" s="31">
        <f t="shared" si="1"/>
        <v>240</v>
      </c>
    </row>
    <row r="56" spans="1:6" ht="18" customHeight="1" x14ac:dyDescent="0.25">
      <c r="A56" s="26">
        <v>46076</v>
      </c>
      <c r="B56" s="27" t="s">
        <v>166</v>
      </c>
      <c r="C56" s="17" t="str">
        <f>IFERROR(VLOOKUP(B56,Productos!$A:$B,2,0),"")</f>
        <v>Tablet Pro</v>
      </c>
      <c r="D56" s="27">
        <v>1</v>
      </c>
      <c r="E56" s="28">
        <f>IFERROR(VLOOKUP(B56,Productos!$A:$E,5,0),"")</f>
        <v>340</v>
      </c>
      <c r="F56" s="28">
        <f t="shared" si="1"/>
        <v>340</v>
      </c>
    </row>
    <row r="57" spans="1:6" ht="18" customHeight="1" x14ac:dyDescent="0.25">
      <c r="A57" s="29">
        <v>46077</v>
      </c>
      <c r="B57" s="30" t="s">
        <v>168</v>
      </c>
      <c r="C57" s="21" t="str">
        <f>IFERROR(VLOOKUP(B57,Productos!$A:$B,2,0),"")</f>
        <v>Tablet Mini</v>
      </c>
      <c r="D57" s="30">
        <v>2</v>
      </c>
      <c r="E57" s="31">
        <f>IFERROR(VLOOKUP(B57,Productos!$A:$E,5,0),"")</f>
        <v>160</v>
      </c>
      <c r="F57" s="31">
        <f t="shared" si="1"/>
        <v>320</v>
      </c>
    </row>
    <row r="58" spans="1:6" ht="18" customHeight="1" x14ac:dyDescent="0.25">
      <c r="A58" s="26">
        <v>46078</v>
      </c>
      <c r="B58" s="27" t="s">
        <v>170</v>
      </c>
      <c r="C58" s="17" t="str">
        <f>IFERROR(VLOOKUP(B58,Productos!$A:$B,2,0),"")</f>
        <v>Tablet Studio</v>
      </c>
      <c r="D58" s="27">
        <v>1</v>
      </c>
      <c r="E58" s="28">
        <f>IFERROR(VLOOKUP(B58,Productos!$A:$E,5,0),"")</f>
        <v>420</v>
      </c>
      <c r="F58" s="28">
        <f t="shared" si="1"/>
        <v>420</v>
      </c>
    </row>
    <row r="59" spans="1:6" ht="18" customHeight="1" x14ac:dyDescent="0.25">
      <c r="A59" s="29">
        <v>46079</v>
      </c>
      <c r="B59" s="30" t="s">
        <v>172</v>
      </c>
      <c r="C59" s="21" t="str">
        <f>IFERROR(VLOOKUP(B59,Productos!$A:$B,2,0),"")</f>
        <v>Impresora InkJet</v>
      </c>
      <c r="D59" s="30">
        <v>2</v>
      </c>
      <c r="E59" s="31">
        <f>IFERROR(VLOOKUP(B59,Productos!$A:$E,5,0),"")</f>
        <v>140</v>
      </c>
      <c r="F59" s="31">
        <f t="shared" si="1"/>
        <v>280</v>
      </c>
    </row>
    <row r="60" spans="1:6" ht="18" customHeight="1" x14ac:dyDescent="0.25">
      <c r="A60" s="26">
        <v>46080</v>
      </c>
      <c r="B60" s="27" t="s">
        <v>174</v>
      </c>
      <c r="C60" s="17" t="str">
        <f>IFERROR(VLOOKUP(B60,Productos!$A:$B,2,0),"")</f>
        <v>Impresora Laser</v>
      </c>
      <c r="D60" s="27">
        <v>1</v>
      </c>
      <c r="E60" s="28">
        <f>IFERROR(VLOOKUP(B60,Productos!$A:$E,5,0),"")</f>
        <v>240</v>
      </c>
      <c r="F60" s="28">
        <f t="shared" si="1"/>
        <v>240</v>
      </c>
    </row>
    <row r="61" spans="1:6" ht="18" customHeight="1" x14ac:dyDescent="0.25">
      <c r="A61" s="29">
        <v>46081</v>
      </c>
      <c r="B61" s="30" t="s">
        <v>176</v>
      </c>
      <c r="C61" s="21" t="str">
        <f>IFERROR(VLOOKUP(B61,Productos!$A:$B,2,0),"")</f>
        <v>Impresora Multifunción</v>
      </c>
      <c r="D61" s="30">
        <v>1</v>
      </c>
      <c r="E61" s="31">
        <f>IFERROR(VLOOKUP(B61,Productos!$A:$E,5,0),"")</f>
        <v>290</v>
      </c>
      <c r="F61" s="31">
        <f t="shared" si="1"/>
        <v>290</v>
      </c>
    </row>
    <row r="62" spans="1:6" ht="18" customHeight="1" x14ac:dyDescent="0.25">
      <c r="A62" s="26">
        <v>46082</v>
      </c>
      <c r="B62" s="27" t="s">
        <v>178</v>
      </c>
      <c r="C62" s="17" t="str">
        <f>IFERROR(VLOOKUP(B62,Productos!$A:$B,2,0),"")</f>
        <v>Impresora Compacta</v>
      </c>
      <c r="D62" s="27">
        <v>2</v>
      </c>
      <c r="E62" s="28">
        <f>IFERROR(VLOOKUP(B62,Productos!$A:$E,5,0),"")</f>
        <v>115</v>
      </c>
      <c r="F62" s="28">
        <f t="shared" si="1"/>
        <v>230</v>
      </c>
    </row>
    <row r="63" spans="1:6" ht="18" customHeight="1" x14ac:dyDescent="0.25">
      <c r="A63" s="29">
        <v>46083</v>
      </c>
      <c r="B63" s="30" t="s">
        <v>180</v>
      </c>
      <c r="C63" s="21" t="str">
        <f>IFERROR(VLOOKUP(B63,Productos!$A:$B,2,0),"")</f>
        <v>Impresora WiFi</v>
      </c>
      <c r="D63" s="30">
        <v>2</v>
      </c>
      <c r="E63" s="31">
        <f>IFERROR(VLOOKUP(B63,Productos!$A:$E,5,0),"")</f>
        <v>170</v>
      </c>
      <c r="F63" s="31">
        <f t="shared" si="1"/>
        <v>340</v>
      </c>
    </row>
    <row r="64" spans="1:6" ht="18" customHeight="1" x14ac:dyDescent="0.25">
      <c r="A64" s="26">
        <v>46084</v>
      </c>
      <c r="B64" s="27" t="s">
        <v>182</v>
      </c>
      <c r="C64" s="17" t="str">
        <f>IFERROR(VLOOKUP(B64,Productos!$A:$B,2,0),"")</f>
        <v>Silla Gamer</v>
      </c>
      <c r="D64" s="27">
        <v>1</v>
      </c>
      <c r="E64" s="28">
        <f>IFERROR(VLOOKUP(B64,Productos!$A:$E,5,0),"")</f>
        <v>240</v>
      </c>
      <c r="F64" s="28">
        <f t="shared" si="1"/>
        <v>240</v>
      </c>
    </row>
    <row r="65" spans="1:6" ht="18" customHeight="1" x14ac:dyDescent="0.25">
      <c r="A65" s="29">
        <v>46085</v>
      </c>
      <c r="B65" s="30" t="s">
        <v>185</v>
      </c>
      <c r="C65" s="21" t="str">
        <f>IFERROR(VLOOKUP(B65,Productos!$A:$B,2,0),"")</f>
        <v>Silla Oficina Pro</v>
      </c>
      <c r="D65" s="30">
        <v>1</v>
      </c>
      <c r="E65" s="31">
        <f>IFERROR(VLOOKUP(B65,Productos!$A:$E,5,0),"")</f>
        <v>190</v>
      </c>
      <c r="F65" s="31">
        <f t="shared" si="1"/>
        <v>190</v>
      </c>
    </row>
    <row r="66" spans="1:6" ht="18" customHeight="1" x14ac:dyDescent="0.25">
      <c r="A66" s="26">
        <v>46086</v>
      </c>
      <c r="B66" s="27" t="s">
        <v>187</v>
      </c>
      <c r="C66" s="17" t="str">
        <f>IFERROR(VLOOKUP(B66,Productos!$A:$B,2,0),"")</f>
        <v>Silla Ergonómica</v>
      </c>
      <c r="D66" s="27">
        <v>1</v>
      </c>
      <c r="E66" s="28">
        <f>IFERROR(VLOOKUP(B66,Productos!$A:$E,5,0),"")</f>
        <v>270</v>
      </c>
      <c r="F66" s="28">
        <f t="shared" si="1"/>
        <v>270</v>
      </c>
    </row>
    <row r="67" spans="1:6" ht="18" customHeight="1" x14ac:dyDescent="0.25">
      <c r="A67" s="29">
        <v>46087</v>
      </c>
      <c r="B67" s="30" t="s">
        <v>189</v>
      </c>
      <c r="C67" s="21" t="str">
        <f>IFERROR(VLOOKUP(B67,Productos!$A:$B,2,0),"")</f>
        <v>Escritorio Compacto</v>
      </c>
      <c r="D67" s="30">
        <v>2</v>
      </c>
      <c r="E67" s="31">
        <f>IFERROR(VLOOKUP(B67,Productos!$A:$E,5,0),"")</f>
        <v>150</v>
      </c>
      <c r="F67" s="31">
        <f t="shared" si="1"/>
        <v>300</v>
      </c>
    </row>
    <row r="68" spans="1:6" ht="18" customHeight="1" x14ac:dyDescent="0.25">
      <c r="A68" s="26">
        <v>46088</v>
      </c>
      <c r="B68" s="27" t="s">
        <v>191</v>
      </c>
      <c r="C68" s="17" t="str">
        <f>IFERROR(VLOOKUP(B68,Productos!$A:$B,2,0),"")</f>
        <v>Escritorio Gamer</v>
      </c>
      <c r="D68" s="27">
        <v>1</v>
      </c>
      <c r="E68" s="28">
        <f>IFERROR(VLOOKUP(B68,Productos!$A:$E,5,0),"")</f>
        <v>220</v>
      </c>
      <c r="F68" s="28">
        <f t="shared" ref="F68:F99" si="2">IFERROR(D68*E68,"")</f>
        <v>220</v>
      </c>
    </row>
    <row r="69" spans="1:6" ht="18" customHeight="1" x14ac:dyDescent="0.25">
      <c r="A69" s="29">
        <v>46089</v>
      </c>
      <c r="B69" s="30" t="s">
        <v>193</v>
      </c>
      <c r="C69" s="21" t="str">
        <f>IFERROR(VLOOKUP(B69,Productos!$A:$B,2,0),"")</f>
        <v>Base Laptop</v>
      </c>
      <c r="D69" s="30">
        <v>4</v>
      </c>
      <c r="E69" s="31">
        <f>IFERROR(VLOOKUP(B69,Productos!$A:$E,5,0),"")</f>
        <v>38</v>
      </c>
      <c r="F69" s="31">
        <f t="shared" si="2"/>
        <v>152</v>
      </c>
    </row>
    <row r="70" spans="1:6" ht="18" customHeight="1" x14ac:dyDescent="0.25">
      <c r="A70" s="26">
        <v>46090</v>
      </c>
      <c r="B70" s="27" t="s">
        <v>195</v>
      </c>
      <c r="C70" s="17" t="str">
        <f>IFERROR(VLOOKUP(B70,Productos!$A:$B,2,0),"")</f>
        <v>Cooling Pad RGB</v>
      </c>
      <c r="D70" s="27">
        <v>3</v>
      </c>
      <c r="E70" s="28">
        <f>IFERROR(VLOOKUP(B70,Productos!$A:$E,5,0),"")</f>
        <v>50</v>
      </c>
      <c r="F70" s="28">
        <f t="shared" si="2"/>
        <v>150</v>
      </c>
    </row>
    <row r="71" spans="1:6" ht="18" customHeight="1" x14ac:dyDescent="0.25">
      <c r="A71" s="29">
        <v>46091</v>
      </c>
      <c r="B71" s="30" t="s">
        <v>197</v>
      </c>
      <c r="C71" s="21" t="str">
        <f>IFERROR(VLOOKUP(B71,Productos!$A:$B,2,0),"")</f>
        <v>Hub USB</v>
      </c>
      <c r="D71" s="30">
        <v>4</v>
      </c>
      <c r="E71" s="31">
        <f>IFERROR(VLOOKUP(B71,Productos!$A:$E,5,0),"")</f>
        <v>32</v>
      </c>
      <c r="F71" s="31">
        <f t="shared" si="2"/>
        <v>128</v>
      </c>
    </row>
    <row r="72" spans="1:6" ht="18" customHeight="1" x14ac:dyDescent="0.25">
      <c r="A72" s="26">
        <v>46092</v>
      </c>
      <c r="B72" s="27" t="s">
        <v>199</v>
      </c>
      <c r="C72" s="17" t="str">
        <f>IFERROR(VLOOKUP(B72,Productos!$A:$B,2,0),"")</f>
        <v>Hub USB-C</v>
      </c>
      <c r="D72" s="27">
        <v>3</v>
      </c>
      <c r="E72" s="28">
        <f>IFERROR(VLOOKUP(B72,Productos!$A:$E,5,0),"")</f>
        <v>45</v>
      </c>
      <c r="F72" s="28">
        <f t="shared" si="2"/>
        <v>135</v>
      </c>
    </row>
    <row r="73" spans="1:6" ht="18" customHeight="1" x14ac:dyDescent="0.25">
      <c r="A73" s="29">
        <v>46093</v>
      </c>
      <c r="B73" s="30" t="s">
        <v>201</v>
      </c>
      <c r="C73" s="21" t="str">
        <f>IFERROR(VLOOKUP(B73,Productos!$A:$B,2,0),"")</f>
        <v>Adaptador HDMI</v>
      </c>
      <c r="D73" s="30">
        <v>4</v>
      </c>
      <c r="E73" s="31">
        <f>IFERROR(VLOOKUP(B73,Productos!$A:$E,5,0),"")</f>
        <v>28</v>
      </c>
      <c r="F73" s="31">
        <f t="shared" si="2"/>
        <v>112</v>
      </c>
    </row>
    <row r="74" spans="1:6" ht="18" customHeight="1" x14ac:dyDescent="0.25">
      <c r="A74" s="26">
        <v>46094</v>
      </c>
      <c r="B74" s="27" t="s">
        <v>203</v>
      </c>
      <c r="C74" s="17" t="str">
        <f>IFERROR(VLOOKUP(B74,Productos!$A:$B,2,0),"")</f>
        <v>Power Bank 10000</v>
      </c>
      <c r="D74" s="27">
        <v>5</v>
      </c>
      <c r="E74" s="28">
        <f>IFERROR(VLOOKUP(B74,Productos!$A:$E,5,0),"")</f>
        <v>38</v>
      </c>
      <c r="F74" s="28">
        <f t="shared" si="2"/>
        <v>190</v>
      </c>
    </row>
    <row r="75" spans="1:6" ht="18" customHeight="1" x14ac:dyDescent="0.25">
      <c r="A75" s="29">
        <v>46095</v>
      </c>
      <c r="B75" s="30" t="s">
        <v>206</v>
      </c>
      <c r="C75" s="21" t="str">
        <f>IFERROR(VLOOKUP(B75,Productos!$A:$B,2,0),"")</f>
        <v>Power Bank 20000</v>
      </c>
      <c r="D75" s="30">
        <v>4</v>
      </c>
      <c r="E75" s="31">
        <f>IFERROR(VLOOKUP(B75,Productos!$A:$E,5,0),"")</f>
        <v>50</v>
      </c>
      <c r="F75" s="31">
        <f t="shared" si="2"/>
        <v>200</v>
      </c>
    </row>
    <row r="76" spans="1:6" ht="18" customHeight="1" x14ac:dyDescent="0.25">
      <c r="A76" s="26">
        <v>46096</v>
      </c>
      <c r="B76" s="27" t="s">
        <v>208</v>
      </c>
      <c r="C76" s="17" t="str">
        <f>IFERROR(VLOOKUP(B76,Productos!$A:$B,2,0),"")</f>
        <v>Cargador USB-C</v>
      </c>
      <c r="D76" s="27">
        <v>4</v>
      </c>
      <c r="E76" s="28">
        <f>IFERROR(VLOOKUP(B76,Productos!$A:$E,5,0),"")</f>
        <v>30</v>
      </c>
      <c r="F76" s="28">
        <f t="shared" si="2"/>
        <v>120</v>
      </c>
    </row>
    <row r="77" spans="1:6" ht="18" customHeight="1" x14ac:dyDescent="0.25">
      <c r="A77" s="29">
        <v>46097</v>
      </c>
      <c r="B77" s="30" t="s">
        <v>210</v>
      </c>
      <c r="C77" s="21" t="str">
        <f>IFERROR(VLOOKUP(B77,Productos!$A:$B,2,0),"")</f>
        <v>Cargador Laptop</v>
      </c>
      <c r="D77" s="30">
        <v>3</v>
      </c>
      <c r="E77" s="31">
        <f>IFERROR(VLOOKUP(B77,Productos!$A:$E,5,0),"")</f>
        <v>60</v>
      </c>
      <c r="F77" s="31">
        <f t="shared" si="2"/>
        <v>180</v>
      </c>
    </row>
    <row r="78" spans="1:6" ht="18" customHeight="1" x14ac:dyDescent="0.25">
      <c r="A78" s="26">
        <v>46098</v>
      </c>
      <c r="B78" s="27" t="s">
        <v>212</v>
      </c>
      <c r="C78" s="17" t="str">
        <f>IFERROR(VLOOKUP(B78,Productos!$A:$B,2,0),"")</f>
        <v>Regleta Protección</v>
      </c>
      <c r="D78" s="27">
        <v>4</v>
      </c>
      <c r="E78" s="28">
        <f>IFERROR(VLOOKUP(B78,Productos!$A:$E,5,0),"")</f>
        <v>25</v>
      </c>
      <c r="F78" s="28">
        <f t="shared" si="2"/>
        <v>100</v>
      </c>
    </row>
    <row r="79" spans="1:6" ht="18" customHeight="1" x14ac:dyDescent="0.25">
      <c r="A79" s="29">
        <v>46099</v>
      </c>
      <c r="B79" s="30" t="s">
        <v>214</v>
      </c>
      <c r="C79" s="21" t="str">
        <f>IFERROR(VLOOKUP(B79,Productos!$A:$B,2,0),"")</f>
        <v>Cámara Seguridad</v>
      </c>
      <c r="D79" s="30">
        <v>2</v>
      </c>
      <c r="E79" s="31">
        <f>IFERROR(VLOOKUP(B79,Productos!$A:$E,5,0),"")</f>
        <v>85</v>
      </c>
      <c r="F79" s="31">
        <f t="shared" si="2"/>
        <v>170</v>
      </c>
    </row>
    <row r="80" spans="1:6" ht="18" customHeight="1" x14ac:dyDescent="0.25">
      <c r="A80" s="26">
        <v>46100</v>
      </c>
      <c r="B80" s="27" t="s">
        <v>217</v>
      </c>
      <c r="C80" s="17" t="str">
        <f>IFERROR(VLOOKUP(B80,Productos!$A:$B,2,0),"")</f>
        <v>Cámara WiFi Pro</v>
      </c>
      <c r="D80" s="27">
        <v>1</v>
      </c>
      <c r="E80" s="28">
        <f>IFERROR(VLOOKUP(B80,Productos!$A:$E,5,0),"")</f>
        <v>135</v>
      </c>
      <c r="F80" s="28">
        <f t="shared" si="2"/>
        <v>135</v>
      </c>
    </row>
    <row r="81" spans="1:6" ht="18" customHeight="1" x14ac:dyDescent="0.25">
      <c r="A81" s="29">
        <v>46101</v>
      </c>
      <c r="B81" s="30" t="s">
        <v>219</v>
      </c>
      <c r="C81" s="21" t="str">
        <f>IFERROR(VLOOKUP(B81,Productos!$A:$B,2,0),"")</f>
        <v>Sensor Movimiento</v>
      </c>
      <c r="D81" s="30">
        <v>2</v>
      </c>
      <c r="E81" s="31">
        <f>IFERROR(VLOOKUP(B81,Productos!$A:$E,5,0),"")</f>
        <v>45</v>
      </c>
      <c r="F81" s="31">
        <f t="shared" si="2"/>
        <v>90</v>
      </c>
    </row>
    <row r="82" spans="1:6" ht="18" customHeight="1" x14ac:dyDescent="0.25">
      <c r="A82" s="26">
        <v>46102</v>
      </c>
      <c r="B82" s="27" t="s">
        <v>221</v>
      </c>
      <c r="C82" s="17" t="str">
        <f>IFERROR(VLOOKUP(B82,Productos!$A:$B,2,0),"")</f>
        <v>Timbre Inteligente</v>
      </c>
      <c r="D82" s="27">
        <v>2</v>
      </c>
      <c r="E82" s="28">
        <f>IFERROR(VLOOKUP(B82,Productos!$A:$E,5,0),"")</f>
        <v>110</v>
      </c>
      <c r="F82" s="28">
        <f t="shared" si="2"/>
        <v>220</v>
      </c>
    </row>
    <row r="83" spans="1:6" ht="18" customHeight="1" x14ac:dyDescent="0.25">
      <c r="A83" s="29">
        <v>46103</v>
      </c>
      <c r="B83" s="30" t="s">
        <v>223</v>
      </c>
      <c r="C83" s="21" t="str">
        <f>IFERROR(VLOOKUP(B83,Productos!$A:$B,2,0),"")</f>
        <v>Kit Seguridad Hogar</v>
      </c>
      <c r="D83" s="30">
        <v>1</v>
      </c>
      <c r="E83" s="31">
        <f>IFERROR(VLOOKUP(B83,Productos!$A:$E,5,0),"")</f>
        <v>210</v>
      </c>
      <c r="F83" s="31">
        <f t="shared" si="2"/>
        <v>210</v>
      </c>
    </row>
    <row r="84" spans="1:6" ht="18" customHeight="1" x14ac:dyDescent="0.25">
      <c r="A84" s="26">
        <v>46104</v>
      </c>
      <c r="B84" s="27" t="s">
        <v>225</v>
      </c>
      <c r="C84" s="17" t="str">
        <f>IFERROR(VLOOKUP(B84,Productos!$A:$B,2,0),"")</f>
        <v>Smartwatch Lite</v>
      </c>
      <c r="D84" s="27">
        <v>3</v>
      </c>
      <c r="E84" s="28">
        <f>IFERROR(VLOOKUP(B84,Productos!$A:$E,5,0),"")</f>
        <v>95</v>
      </c>
      <c r="F84" s="28">
        <f t="shared" si="2"/>
        <v>285</v>
      </c>
    </row>
    <row r="85" spans="1:6" ht="18" customHeight="1" x14ac:dyDescent="0.25">
      <c r="A85" s="29">
        <v>46105</v>
      </c>
      <c r="B85" s="30" t="s">
        <v>228</v>
      </c>
      <c r="C85" s="21" t="str">
        <f>IFERROR(VLOOKUP(B85,Productos!$A:$B,2,0),"")</f>
        <v>Smartwatch Pro</v>
      </c>
      <c r="D85" s="30">
        <v>2</v>
      </c>
      <c r="E85" s="31">
        <f>IFERROR(VLOOKUP(B85,Productos!$A:$E,5,0),"")</f>
        <v>180</v>
      </c>
      <c r="F85" s="31">
        <f t="shared" si="2"/>
        <v>360</v>
      </c>
    </row>
    <row r="86" spans="1:6" ht="18" customHeight="1" x14ac:dyDescent="0.25">
      <c r="A86" s="26">
        <v>46106</v>
      </c>
      <c r="B86" s="27" t="s">
        <v>230</v>
      </c>
      <c r="C86" s="17" t="str">
        <f>IFERROR(VLOOKUP(B86,Productos!$A:$B,2,0),"")</f>
        <v>Smartband Fit</v>
      </c>
      <c r="D86" s="27">
        <v>2</v>
      </c>
      <c r="E86" s="28">
        <f>IFERROR(VLOOKUP(B86,Productos!$A:$E,5,0),"")</f>
        <v>65</v>
      </c>
      <c r="F86" s="28">
        <f t="shared" si="2"/>
        <v>130</v>
      </c>
    </row>
    <row r="87" spans="1:6" ht="18" customHeight="1" x14ac:dyDescent="0.25">
      <c r="A87" s="29">
        <v>46107</v>
      </c>
      <c r="B87" s="30" t="s">
        <v>232</v>
      </c>
      <c r="C87" s="21" t="str">
        <f>IFERROR(VLOOKUP(B87,Productos!$A:$B,2,0),"")</f>
        <v>Smartwatch Sport</v>
      </c>
      <c r="D87" s="30">
        <v>2</v>
      </c>
      <c r="E87" s="31">
        <f>IFERROR(VLOOKUP(B87,Productos!$A:$E,5,0),"")</f>
        <v>150</v>
      </c>
      <c r="F87" s="31">
        <f t="shared" si="2"/>
        <v>300</v>
      </c>
    </row>
    <row r="88" spans="1:6" ht="18" customHeight="1" x14ac:dyDescent="0.25">
      <c r="A88" s="26">
        <v>46108</v>
      </c>
      <c r="B88" s="27" t="s">
        <v>234</v>
      </c>
      <c r="C88" s="17" t="str">
        <f>IFERROR(VLOOKUP(B88,Productos!$A:$B,2,0),"")</f>
        <v>Smartwatch Ultra</v>
      </c>
      <c r="D88" s="27">
        <v>2</v>
      </c>
      <c r="E88" s="28">
        <f>IFERROR(VLOOKUP(B88,Productos!$A:$E,5,0),"")</f>
        <v>240</v>
      </c>
      <c r="F88" s="28">
        <f t="shared" si="2"/>
        <v>480</v>
      </c>
    </row>
    <row r="89" spans="1:6" ht="18" customHeight="1" x14ac:dyDescent="0.25">
      <c r="A89" s="29">
        <v>46109</v>
      </c>
      <c r="B89" s="30" t="s">
        <v>236</v>
      </c>
      <c r="C89" s="21" t="str">
        <f>IFERROR(VLOOKUP(B89,Productos!$A:$B,2,0),"")</f>
        <v>Lámpara LED Desk</v>
      </c>
      <c r="D89" s="30">
        <v>3</v>
      </c>
      <c r="E89" s="31">
        <f>IFERROR(VLOOKUP(B89,Productos!$A:$E,5,0),"")</f>
        <v>35</v>
      </c>
      <c r="F89" s="31">
        <f t="shared" si="2"/>
        <v>105</v>
      </c>
    </row>
    <row r="90" spans="1:6" ht="18" customHeight="1" x14ac:dyDescent="0.25">
      <c r="A90" s="26">
        <v>46110</v>
      </c>
      <c r="B90" s="27" t="s">
        <v>239</v>
      </c>
      <c r="C90" s="17" t="str">
        <f>IFERROR(VLOOKUP(B90,Productos!$A:$B,2,0),"")</f>
        <v>Lámpara RGB</v>
      </c>
      <c r="D90" s="27">
        <v>3</v>
      </c>
      <c r="E90" s="28">
        <f>IFERROR(VLOOKUP(B90,Productos!$A:$E,5,0),"")</f>
        <v>50</v>
      </c>
      <c r="F90" s="28">
        <f t="shared" si="2"/>
        <v>150</v>
      </c>
    </row>
    <row r="91" spans="1:6" ht="18" customHeight="1" x14ac:dyDescent="0.25">
      <c r="A91" s="29">
        <v>46111</v>
      </c>
      <c r="B91" s="30" t="s">
        <v>241</v>
      </c>
      <c r="C91" s="21" t="str">
        <f>IFERROR(VLOOKUP(B91,Productos!$A:$B,2,0),"")</f>
        <v>Lámpara Monitor</v>
      </c>
      <c r="D91" s="30">
        <v>2</v>
      </c>
      <c r="E91" s="31">
        <f>IFERROR(VLOOKUP(B91,Productos!$A:$E,5,0),"")</f>
        <v>45</v>
      </c>
      <c r="F91" s="31">
        <f t="shared" si="2"/>
        <v>90</v>
      </c>
    </row>
    <row r="92" spans="1:6" ht="18" customHeight="1" x14ac:dyDescent="0.25">
      <c r="A92" s="26">
        <v>46111</v>
      </c>
      <c r="B92" s="27" t="s">
        <v>243</v>
      </c>
      <c r="C92" s="17" t="str">
        <f>IFERROR(VLOOKUP(B92,Productos!$A:$B,2,0),"")</f>
        <v>Luz Ambiente RGB</v>
      </c>
      <c r="D92" s="27">
        <v>2</v>
      </c>
      <c r="E92" s="28">
        <f>IFERROR(VLOOKUP(B92,Productos!$A:$E,5,0),"")</f>
        <v>60</v>
      </c>
      <c r="F92" s="28">
        <f t="shared" si="2"/>
        <v>120</v>
      </c>
    </row>
    <row r="93" spans="1:6" ht="18" customHeight="1" x14ac:dyDescent="0.25">
      <c r="A93" s="29">
        <v>46111</v>
      </c>
      <c r="B93" s="30" t="s">
        <v>245</v>
      </c>
      <c r="C93" s="21" t="str">
        <f>IFERROR(VLOOKUP(B93,Productos!$A:$B,2,0),"")</f>
        <v>Panel LED Studio</v>
      </c>
      <c r="D93" s="30">
        <v>2</v>
      </c>
      <c r="E93" s="31">
        <f>IFERROR(VLOOKUP(B93,Productos!$A:$E,5,0),"")</f>
        <v>120</v>
      </c>
      <c r="F93" s="31">
        <f t="shared" si="2"/>
        <v>240</v>
      </c>
    </row>
    <row r="94" spans="1:6" ht="18" customHeight="1" x14ac:dyDescent="0.25">
      <c r="A94" s="26">
        <v>46111</v>
      </c>
      <c r="B94" s="27" t="s">
        <v>247</v>
      </c>
      <c r="C94" s="17" t="str">
        <f>IFERROR(VLOOKUP(B94,Productos!$A:$B,2,0),"")</f>
        <v>Micrófono USB</v>
      </c>
      <c r="D94" s="27">
        <v>2</v>
      </c>
      <c r="E94" s="28">
        <f>IFERROR(VLOOKUP(B94,Productos!$A:$E,5,0),"")</f>
        <v>75</v>
      </c>
      <c r="F94" s="28">
        <f t="shared" si="2"/>
        <v>150</v>
      </c>
    </row>
    <row r="95" spans="1:6" ht="18" customHeight="1" x14ac:dyDescent="0.25">
      <c r="A95" s="29">
        <v>46111</v>
      </c>
      <c r="B95" s="30" t="s">
        <v>250</v>
      </c>
      <c r="C95" s="21" t="str">
        <f>IFERROR(VLOOKUP(B95,Productos!$A:$B,2,0),"")</f>
        <v>Micrófono Pro</v>
      </c>
      <c r="D95" s="30">
        <v>1</v>
      </c>
      <c r="E95" s="31">
        <f>IFERROR(VLOOKUP(B95,Productos!$A:$E,5,0),"")</f>
        <v>150</v>
      </c>
      <c r="F95" s="31">
        <f t="shared" si="2"/>
        <v>150</v>
      </c>
    </row>
    <row r="96" spans="1:6" ht="18" customHeight="1" x14ac:dyDescent="0.25">
      <c r="A96" s="26">
        <v>46111</v>
      </c>
      <c r="B96" s="27" t="s">
        <v>252</v>
      </c>
      <c r="C96" s="17" t="str">
        <f>IFERROR(VLOOKUP(B96,Productos!$A:$B,2,0),"")</f>
        <v>Brazo Micrófono</v>
      </c>
      <c r="D96" s="27">
        <v>1</v>
      </c>
      <c r="E96" s="28">
        <f>IFERROR(VLOOKUP(B96,Productos!$A:$E,5,0),"")</f>
        <v>48</v>
      </c>
      <c r="F96" s="28">
        <f t="shared" si="2"/>
        <v>48</v>
      </c>
    </row>
    <row r="97" spans="1:6" ht="18" customHeight="1" x14ac:dyDescent="0.25">
      <c r="A97" s="29">
        <v>46111</v>
      </c>
      <c r="B97" s="30" t="s">
        <v>254</v>
      </c>
      <c r="C97" s="21" t="str">
        <f>IFERROR(VLOOKUP(B97,Productos!$A:$B,2,0),"")</f>
        <v>Kit Streaming</v>
      </c>
      <c r="D97" s="30">
        <v>1</v>
      </c>
      <c r="E97" s="31">
        <f>IFERROR(VLOOKUP(B97,Productos!$A:$E,5,0),"")</f>
        <v>210</v>
      </c>
      <c r="F97" s="31">
        <f t="shared" si="2"/>
        <v>210</v>
      </c>
    </row>
    <row r="98" spans="1:6" ht="18" customHeight="1" x14ac:dyDescent="0.25">
      <c r="A98" s="26">
        <v>46111</v>
      </c>
      <c r="B98" s="27" t="s">
        <v>256</v>
      </c>
      <c r="C98" s="17" t="str">
        <f>IFERROR(VLOOKUP(B98,Productos!$A:$B,2,0),"")</f>
        <v>Capturadora Video</v>
      </c>
      <c r="D98" s="27">
        <v>1</v>
      </c>
      <c r="E98" s="28">
        <f>IFERROR(VLOOKUP(B98,Productos!$A:$E,5,0),"")</f>
        <v>175</v>
      </c>
      <c r="F98" s="28">
        <f t="shared" si="2"/>
        <v>175</v>
      </c>
    </row>
    <row r="99" spans="1:6" ht="18" customHeight="1" x14ac:dyDescent="0.25">
      <c r="A99" s="29">
        <v>46111</v>
      </c>
      <c r="B99" s="30" t="s">
        <v>258</v>
      </c>
      <c r="C99" s="21" t="str">
        <f>IFERROR(VLOOKUP(B99,Productos!$A:$B,2,0),"")</f>
        <v>Tarjeta Gráfica Mini</v>
      </c>
      <c r="D99" s="30">
        <v>1</v>
      </c>
      <c r="E99" s="31">
        <f>IFERROR(VLOOKUP(B99,Productos!$A:$E,5,0),"")</f>
        <v>310</v>
      </c>
      <c r="F99" s="31">
        <f t="shared" si="2"/>
        <v>310</v>
      </c>
    </row>
    <row r="100" spans="1:6" ht="18" customHeight="1" x14ac:dyDescent="0.25">
      <c r="A100" s="26">
        <v>46111</v>
      </c>
      <c r="B100" s="27" t="s">
        <v>260</v>
      </c>
      <c r="C100" s="17" t="str">
        <f>IFERROR(VLOOKUP(B100,Productos!$A:$B,2,0),"")</f>
        <v>Tarjeta Gráfica Pro</v>
      </c>
      <c r="D100" s="27">
        <v>1</v>
      </c>
      <c r="E100" s="28">
        <f>IFERROR(VLOOKUP(B100,Productos!$A:$E,5,0),"")</f>
        <v>520</v>
      </c>
      <c r="F100" s="28">
        <f t="shared" ref="F100:F103" si="3">IFERROR(D100*E100,"")</f>
        <v>520</v>
      </c>
    </row>
    <row r="101" spans="1:6" ht="18" customHeight="1" x14ac:dyDescent="0.25">
      <c r="A101" s="29">
        <v>46111</v>
      </c>
      <c r="B101" s="30" t="s">
        <v>262</v>
      </c>
      <c r="C101" s="21" t="str">
        <f>IFERROR(VLOOKUP(B101,Productos!$A:$B,2,0),"")</f>
        <v>Memoria RAM 16GB</v>
      </c>
      <c r="D101" s="30">
        <v>2</v>
      </c>
      <c r="E101" s="31">
        <f>IFERROR(VLOOKUP(B101,Productos!$A:$E,5,0),"")</f>
        <v>95</v>
      </c>
      <c r="F101" s="31">
        <f t="shared" si="3"/>
        <v>190</v>
      </c>
    </row>
    <row r="102" spans="1:6" ht="18" customHeight="1" x14ac:dyDescent="0.25">
      <c r="A102" s="26">
        <v>46111</v>
      </c>
      <c r="B102" s="27" t="s">
        <v>264</v>
      </c>
      <c r="C102" s="17" t="str">
        <f>IFERROR(VLOOKUP(B102,Productos!$A:$B,2,0),"")</f>
        <v>Memoria RAM 32GB</v>
      </c>
      <c r="D102" s="27">
        <v>2</v>
      </c>
      <c r="E102" s="28">
        <f>IFERROR(VLOOKUP(B102,Productos!$A:$E,5,0),"")</f>
        <v>165</v>
      </c>
      <c r="F102" s="28">
        <f t="shared" si="3"/>
        <v>330</v>
      </c>
    </row>
    <row r="103" spans="1:6" ht="18" customHeight="1" x14ac:dyDescent="0.25">
      <c r="A103" s="29">
        <v>46111</v>
      </c>
      <c r="B103" s="30" t="s">
        <v>266</v>
      </c>
      <c r="C103" s="21" t="str">
        <f>IFERROR(VLOOKUP(B103,Productos!$A:$B,2,0),"")</f>
        <v>Procesador CoreX</v>
      </c>
      <c r="D103" s="30">
        <v>1</v>
      </c>
      <c r="E103" s="31">
        <f>IFERROR(VLOOKUP(B103,Productos!$A:$E,5,0),"")</f>
        <v>360</v>
      </c>
      <c r="F103" s="31">
        <f t="shared" si="3"/>
        <v>360</v>
      </c>
    </row>
    <row r="104" spans="1:6" ht="24.75" customHeight="1" x14ac:dyDescent="0.25">
      <c r="A104" s="75" t="s">
        <v>277</v>
      </c>
      <c r="B104" s="75"/>
      <c r="C104" s="75"/>
      <c r="D104" s="75"/>
      <c r="E104" s="75"/>
      <c r="F104" s="32">
        <f>SUM(F4:F103)</f>
        <v>32721</v>
      </c>
    </row>
  </sheetData>
  <mergeCells count="3">
    <mergeCell ref="A1:F1"/>
    <mergeCell ref="A2:F2"/>
    <mergeCell ref="A104:E10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39C12"/>
  </sheetPr>
  <dimension ref="A1:G103"/>
  <sheetViews>
    <sheetView showGridLines="0" zoomScaleNormal="100" workbookViewId="0">
      <pane ySplit="3" topLeftCell="A4" activePane="bottomLeft" state="frozen"/>
      <selection pane="bottomLeft" activeCell="A2" sqref="A2:G2"/>
    </sheetView>
  </sheetViews>
  <sheetFormatPr baseColWidth="10" defaultColWidth="8.7109375" defaultRowHeight="15" x14ac:dyDescent="0.25"/>
  <cols>
    <col min="1" max="1" width="14" customWidth="1"/>
    <col min="2" max="2" width="28" customWidth="1"/>
    <col min="3" max="3" width="18" customWidth="1"/>
    <col min="4" max="5" width="16" customWidth="1"/>
    <col min="6" max="7" width="14" customWidth="1"/>
  </cols>
  <sheetData>
    <row r="1" spans="1:7" ht="39.75" customHeight="1" x14ac:dyDescent="0.25">
      <c r="A1" s="72" t="s">
        <v>278</v>
      </c>
      <c r="B1" s="72"/>
      <c r="C1" s="72"/>
      <c r="D1" s="72"/>
      <c r="E1" s="72"/>
      <c r="F1" s="72"/>
      <c r="G1" s="72"/>
    </row>
    <row r="2" spans="1:7" ht="19.5" customHeight="1" x14ac:dyDescent="0.25">
      <c r="A2" s="116" t="s">
        <v>285</v>
      </c>
      <c r="B2" s="116"/>
      <c r="C2" s="116"/>
      <c r="D2" s="116"/>
      <c r="E2" s="116"/>
      <c r="F2" s="116"/>
      <c r="G2" s="116"/>
    </row>
    <row r="3" spans="1:7" ht="30" customHeight="1" x14ac:dyDescent="0.25">
      <c r="A3" s="13" t="s">
        <v>57</v>
      </c>
      <c r="B3" s="13" t="s">
        <v>58</v>
      </c>
      <c r="C3" s="13" t="s">
        <v>13</v>
      </c>
      <c r="D3" s="13" t="s">
        <v>279</v>
      </c>
      <c r="E3" s="13" t="s">
        <v>280</v>
      </c>
      <c r="F3" s="13" t="s">
        <v>281</v>
      </c>
      <c r="G3" s="13" t="s">
        <v>26</v>
      </c>
    </row>
    <row r="4" spans="1:7" ht="18" customHeight="1" x14ac:dyDescent="0.25">
      <c r="A4" s="16" t="s">
        <v>62</v>
      </c>
      <c r="B4" s="17" t="s">
        <v>63</v>
      </c>
      <c r="C4" s="18" t="s">
        <v>16</v>
      </c>
      <c r="D4" s="27">
        <f>SUMIF(Compras!$B:$B,A4,Compras!$D:$D)</f>
        <v>12</v>
      </c>
      <c r="E4" s="27">
        <f>SUMIF(Ventas!$B:$B,A4,Ventas!$D:$D)</f>
        <v>3</v>
      </c>
      <c r="F4" s="27">
        <f t="shared" ref="F4:F35" si="0">D4-E4</f>
        <v>9</v>
      </c>
      <c r="G4" s="27" t="str">
        <f t="shared" ref="G4:G35" si="1">IF(F4&lt;=0,"Sin Stock",IF(F4&lt;5,"Crítico",IF(F4&lt;10,"Stock Bajo","OK")))</f>
        <v>Stock Bajo</v>
      </c>
    </row>
    <row r="5" spans="1:7" ht="18" customHeight="1" x14ac:dyDescent="0.25">
      <c r="A5" s="20" t="s">
        <v>64</v>
      </c>
      <c r="B5" s="21" t="s">
        <v>65</v>
      </c>
      <c r="C5" s="22" t="s">
        <v>16</v>
      </c>
      <c r="D5" s="30">
        <f>SUMIF(Compras!$B:$B,A5,Compras!$D:$D)</f>
        <v>8</v>
      </c>
      <c r="E5" s="30">
        <f>SUMIF(Ventas!$B:$B,A5,Ventas!$D:$D)</f>
        <v>2</v>
      </c>
      <c r="F5" s="30">
        <f t="shared" si="0"/>
        <v>6</v>
      </c>
      <c r="G5" s="30" t="str">
        <f t="shared" si="1"/>
        <v>Stock Bajo</v>
      </c>
    </row>
    <row r="6" spans="1:7" ht="18" customHeight="1" x14ac:dyDescent="0.25">
      <c r="A6" s="16" t="s">
        <v>66</v>
      </c>
      <c r="B6" s="17" t="s">
        <v>67</v>
      </c>
      <c r="C6" s="18" t="s">
        <v>16</v>
      </c>
      <c r="D6" s="27">
        <f>SUMIF(Compras!$B:$B,A6,Compras!$D:$D)</f>
        <v>6</v>
      </c>
      <c r="E6" s="27">
        <f>SUMIF(Ventas!$B:$B,A6,Ventas!$D:$D)</f>
        <v>1</v>
      </c>
      <c r="F6" s="27">
        <f t="shared" si="0"/>
        <v>5</v>
      </c>
      <c r="G6" s="27" t="str">
        <f t="shared" si="1"/>
        <v>Stock Bajo</v>
      </c>
    </row>
    <row r="7" spans="1:7" ht="18" customHeight="1" x14ac:dyDescent="0.25">
      <c r="A7" s="20" t="s">
        <v>68</v>
      </c>
      <c r="B7" s="21" t="s">
        <v>69</v>
      </c>
      <c r="C7" s="22" t="s">
        <v>16</v>
      </c>
      <c r="D7" s="30">
        <f>SUMIF(Compras!$B:$B,A7,Compras!$D:$D)</f>
        <v>10</v>
      </c>
      <c r="E7" s="30">
        <f>SUMIF(Ventas!$B:$B,A7,Ventas!$D:$D)</f>
        <v>4</v>
      </c>
      <c r="F7" s="30">
        <f t="shared" si="0"/>
        <v>6</v>
      </c>
      <c r="G7" s="30" t="str">
        <f t="shared" si="1"/>
        <v>Stock Bajo</v>
      </c>
    </row>
    <row r="8" spans="1:7" ht="18" customHeight="1" x14ac:dyDescent="0.25">
      <c r="A8" s="16" t="s">
        <v>70</v>
      </c>
      <c r="B8" s="17" t="s">
        <v>71</v>
      </c>
      <c r="C8" s="18" t="s">
        <v>16</v>
      </c>
      <c r="D8" s="27">
        <f>SUMIF(Compras!$B:$B,A8,Compras!$D:$D)</f>
        <v>5</v>
      </c>
      <c r="E8" s="27">
        <f>SUMIF(Ventas!$B:$B,A8,Ventas!$D:$D)</f>
        <v>2</v>
      </c>
      <c r="F8" s="27">
        <f t="shared" si="0"/>
        <v>3</v>
      </c>
      <c r="G8" s="27" t="str">
        <f t="shared" si="1"/>
        <v>Crítico</v>
      </c>
    </row>
    <row r="9" spans="1:7" ht="18" customHeight="1" x14ac:dyDescent="0.25">
      <c r="A9" s="20" t="s">
        <v>72</v>
      </c>
      <c r="B9" s="21" t="s">
        <v>73</v>
      </c>
      <c r="C9" s="22" t="s">
        <v>17</v>
      </c>
      <c r="D9" s="30">
        <f>SUMIF(Compras!$B:$B,A9,Compras!$D:$D)</f>
        <v>30</v>
      </c>
      <c r="E9" s="30">
        <f>SUMIF(Ventas!$B:$B,A9,Ventas!$D:$D)</f>
        <v>6</v>
      </c>
      <c r="F9" s="30">
        <f t="shared" si="0"/>
        <v>24</v>
      </c>
      <c r="G9" s="30" t="str">
        <f t="shared" si="1"/>
        <v>OK</v>
      </c>
    </row>
    <row r="10" spans="1:7" ht="18" customHeight="1" x14ac:dyDescent="0.25">
      <c r="A10" s="16" t="s">
        <v>74</v>
      </c>
      <c r="B10" s="17" t="s">
        <v>75</v>
      </c>
      <c r="C10" s="18" t="s">
        <v>17</v>
      </c>
      <c r="D10" s="27">
        <f>SUMIF(Compras!$B:$B,A10,Compras!$D:$D)</f>
        <v>25</v>
      </c>
      <c r="E10" s="27">
        <f>SUMIF(Ventas!$B:$B,A10,Ventas!$D:$D)</f>
        <v>5</v>
      </c>
      <c r="F10" s="27">
        <f t="shared" si="0"/>
        <v>20</v>
      </c>
      <c r="G10" s="27" t="str">
        <f t="shared" si="1"/>
        <v>OK</v>
      </c>
    </row>
    <row r="11" spans="1:7" ht="18" customHeight="1" x14ac:dyDescent="0.25">
      <c r="A11" s="20" t="s">
        <v>76</v>
      </c>
      <c r="B11" s="21" t="s">
        <v>77</v>
      </c>
      <c r="C11" s="22" t="s">
        <v>17</v>
      </c>
      <c r="D11" s="30">
        <f>SUMIF(Compras!$B:$B,A11,Compras!$D:$D)</f>
        <v>40</v>
      </c>
      <c r="E11" s="30">
        <f>SUMIF(Ventas!$B:$B,A11,Ventas!$D:$D)</f>
        <v>7</v>
      </c>
      <c r="F11" s="30">
        <f t="shared" si="0"/>
        <v>33</v>
      </c>
      <c r="G11" s="30" t="str">
        <f t="shared" si="1"/>
        <v>OK</v>
      </c>
    </row>
    <row r="12" spans="1:7" ht="18" customHeight="1" x14ac:dyDescent="0.25">
      <c r="A12" s="16" t="s">
        <v>78</v>
      </c>
      <c r="B12" s="17" t="s">
        <v>79</v>
      </c>
      <c r="C12" s="18" t="s">
        <v>17</v>
      </c>
      <c r="D12" s="27">
        <f>SUMIF(Compras!$B:$B,A12,Compras!$D:$D)</f>
        <v>18</v>
      </c>
      <c r="E12" s="27">
        <f>SUMIF(Ventas!$B:$B,A12,Ventas!$D:$D)</f>
        <v>3</v>
      </c>
      <c r="F12" s="27">
        <f t="shared" si="0"/>
        <v>15</v>
      </c>
      <c r="G12" s="27" t="str">
        <f t="shared" si="1"/>
        <v>OK</v>
      </c>
    </row>
    <row r="13" spans="1:7" ht="18" customHeight="1" x14ac:dyDescent="0.25">
      <c r="A13" s="20" t="s">
        <v>80</v>
      </c>
      <c r="B13" s="21" t="s">
        <v>81</v>
      </c>
      <c r="C13" s="22" t="s">
        <v>17</v>
      </c>
      <c r="D13" s="30">
        <f>SUMIF(Compras!$B:$B,A13,Compras!$D:$D)</f>
        <v>22</v>
      </c>
      <c r="E13" s="30">
        <f>SUMIF(Ventas!$B:$B,A13,Ventas!$D:$D)</f>
        <v>4</v>
      </c>
      <c r="F13" s="30">
        <f t="shared" si="0"/>
        <v>18</v>
      </c>
      <c r="G13" s="30" t="str">
        <f t="shared" si="1"/>
        <v>OK</v>
      </c>
    </row>
    <row r="14" spans="1:7" ht="18" customHeight="1" x14ac:dyDescent="0.25">
      <c r="A14" s="16" t="s">
        <v>82</v>
      </c>
      <c r="B14" s="17" t="s">
        <v>83</v>
      </c>
      <c r="C14" s="18" t="s">
        <v>17</v>
      </c>
      <c r="D14" s="27">
        <f>SUMIF(Compras!$B:$B,A14,Compras!$D:$D)</f>
        <v>14</v>
      </c>
      <c r="E14" s="27">
        <f>SUMIF(Ventas!$B:$B,A14,Ventas!$D:$D)</f>
        <v>2</v>
      </c>
      <c r="F14" s="27">
        <f t="shared" si="0"/>
        <v>12</v>
      </c>
      <c r="G14" s="27" t="str">
        <f t="shared" si="1"/>
        <v>OK</v>
      </c>
    </row>
    <row r="15" spans="1:7" ht="18" customHeight="1" x14ac:dyDescent="0.25">
      <c r="A15" s="20" t="s">
        <v>84</v>
      </c>
      <c r="B15" s="21" t="s">
        <v>85</v>
      </c>
      <c r="C15" s="22" t="s">
        <v>17</v>
      </c>
      <c r="D15" s="30">
        <f>SUMIF(Compras!$B:$B,A15,Compras!$D:$D)</f>
        <v>16</v>
      </c>
      <c r="E15" s="30">
        <f>SUMIF(Ventas!$B:$B,A15,Ventas!$D:$D)</f>
        <v>2</v>
      </c>
      <c r="F15" s="30">
        <f t="shared" si="0"/>
        <v>14</v>
      </c>
      <c r="G15" s="30" t="str">
        <f t="shared" si="1"/>
        <v>OK</v>
      </c>
    </row>
    <row r="16" spans="1:7" ht="18" customHeight="1" x14ac:dyDescent="0.25">
      <c r="A16" s="16" t="s">
        <v>86</v>
      </c>
      <c r="B16" s="17" t="s">
        <v>87</v>
      </c>
      <c r="C16" s="18" t="s">
        <v>17</v>
      </c>
      <c r="D16" s="27">
        <f>SUMIF(Compras!$B:$B,A16,Compras!$D:$D)</f>
        <v>20</v>
      </c>
      <c r="E16" s="27">
        <f>SUMIF(Ventas!$B:$B,A16,Ventas!$D:$D)</f>
        <v>3</v>
      </c>
      <c r="F16" s="27">
        <f t="shared" si="0"/>
        <v>17</v>
      </c>
      <c r="G16" s="27" t="str">
        <f t="shared" si="1"/>
        <v>OK</v>
      </c>
    </row>
    <row r="17" spans="1:7" ht="18" customHeight="1" x14ac:dyDescent="0.25">
      <c r="A17" s="20" t="s">
        <v>88</v>
      </c>
      <c r="B17" s="21" t="s">
        <v>89</v>
      </c>
      <c r="C17" s="22" t="s">
        <v>17</v>
      </c>
      <c r="D17" s="30">
        <f>SUMIF(Compras!$B:$B,A17,Compras!$D:$D)</f>
        <v>17</v>
      </c>
      <c r="E17" s="30">
        <f>SUMIF(Ventas!$B:$B,A17,Ventas!$D:$D)</f>
        <v>3</v>
      </c>
      <c r="F17" s="30">
        <f t="shared" si="0"/>
        <v>14</v>
      </c>
      <c r="G17" s="30" t="str">
        <f t="shared" si="1"/>
        <v>OK</v>
      </c>
    </row>
    <row r="18" spans="1:7" ht="18" customHeight="1" x14ac:dyDescent="0.25">
      <c r="A18" s="16" t="s">
        <v>90</v>
      </c>
      <c r="B18" s="17" t="s">
        <v>91</v>
      </c>
      <c r="C18" s="18" t="s">
        <v>17</v>
      </c>
      <c r="D18" s="27">
        <f>SUMIF(Compras!$B:$B,A18,Compras!$D:$D)</f>
        <v>21</v>
      </c>
      <c r="E18" s="27">
        <f>SUMIF(Ventas!$B:$B,A18,Ventas!$D:$D)</f>
        <v>4</v>
      </c>
      <c r="F18" s="27">
        <f t="shared" si="0"/>
        <v>17</v>
      </c>
      <c r="G18" s="27" t="str">
        <f t="shared" si="1"/>
        <v>OK</v>
      </c>
    </row>
    <row r="19" spans="1:7" ht="18" customHeight="1" x14ac:dyDescent="0.25">
      <c r="A19" s="20" t="s">
        <v>92</v>
      </c>
      <c r="B19" s="21" t="s">
        <v>93</v>
      </c>
      <c r="C19" s="22" t="s">
        <v>18</v>
      </c>
      <c r="D19" s="30">
        <f>SUMIF(Compras!$B:$B,A19,Compras!$D:$D)</f>
        <v>9</v>
      </c>
      <c r="E19" s="30">
        <f>SUMIF(Ventas!$B:$B,A19,Ventas!$D:$D)</f>
        <v>1</v>
      </c>
      <c r="F19" s="30">
        <f t="shared" si="0"/>
        <v>8</v>
      </c>
      <c r="G19" s="30" t="str">
        <f t="shared" si="1"/>
        <v>Stock Bajo</v>
      </c>
    </row>
    <row r="20" spans="1:7" ht="18" customHeight="1" x14ac:dyDescent="0.25">
      <c r="A20" s="16" t="s">
        <v>94</v>
      </c>
      <c r="B20" s="17" t="s">
        <v>95</v>
      </c>
      <c r="C20" s="18" t="s">
        <v>18</v>
      </c>
      <c r="D20" s="27">
        <f>SUMIF(Compras!$B:$B,A20,Compras!$D:$D)</f>
        <v>7</v>
      </c>
      <c r="E20" s="27">
        <f>SUMIF(Ventas!$B:$B,A20,Ventas!$D:$D)</f>
        <v>1</v>
      </c>
      <c r="F20" s="27">
        <f t="shared" si="0"/>
        <v>6</v>
      </c>
      <c r="G20" s="27" t="str">
        <f t="shared" si="1"/>
        <v>Stock Bajo</v>
      </c>
    </row>
    <row r="21" spans="1:7" ht="18" customHeight="1" x14ac:dyDescent="0.25">
      <c r="A21" s="20" t="s">
        <v>96</v>
      </c>
      <c r="B21" s="21" t="s">
        <v>97</v>
      </c>
      <c r="C21" s="22" t="s">
        <v>18</v>
      </c>
      <c r="D21" s="30">
        <f>SUMIF(Compras!$B:$B,A21,Compras!$D:$D)</f>
        <v>8</v>
      </c>
      <c r="E21" s="30">
        <f>SUMIF(Ventas!$B:$B,A21,Ventas!$D:$D)</f>
        <v>2</v>
      </c>
      <c r="F21" s="30">
        <f t="shared" si="0"/>
        <v>6</v>
      </c>
      <c r="G21" s="30" t="str">
        <f t="shared" si="1"/>
        <v>Stock Bajo</v>
      </c>
    </row>
    <row r="22" spans="1:7" ht="18" customHeight="1" x14ac:dyDescent="0.25">
      <c r="A22" s="16" t="s">
        <v>98</v>
      </c>
      <c r="B22" s="17" t="s">
        <v>99</v>
      </c>
      <c r="C22" s="18" t="s">
        <v>18</v>
      </c>
      <c r="D22" s="27">
        <f>SUMIF(Compras!$B:$B,A22,Compras!$D:$D)</f>
        <v>6</v>
      </c>
      <c r="E22" s="27">
        <f>SUMIF(Ventas!$B:$B,A22,Ventas!$D:$D)</f>
        <v>1</v>
      </c>
      <c r="F22" s="27">
        <f t="shared" si="0"/>
        <v>5</v>
      </c>
      <c r="G22" s="27" t="str">
        <f t="shared" si="1"/>
        <v>Stock Bajo</v>
      </c>
    </row>
    <row r="23" spans="1:7" ht="18" customHeight="1" x14ac:dyDescent="0.25">
      <c r="A23" s="20" t="s">
        <v>100</v>
      </c>
      <c r="B23" s="21" t="s">
        <v>101</v>
      </c>
      <c r="C23" s="22" t="s">
        <v>18</v>
      </c>
      <c r="D23" s="30">
        <f>SUMIF(Compras!$B:$B,A23,Compras!$D:$D)</f>
        <v>5</v>
      </c>
      <c r="E23" s="30">
        <f>SUMIF(Ventas!$B:$B,A23,Ventas!$D:$D)</f>
        <v>1</v>
      </c>
      <c r="F23" s="30">
        <f t="shared" si="0"/>
        <v>4</v>
      </c>
      <c r="G23" s="30" t="str">
        <f t="shared" si="1"/>
        <v>Crítico</v>
      </c>
    </row>
    <row r="24" spans="1:7" ht="18" customHeight="1" x14ac:dyDescent="0.25">
      <c r="A24" s="16" t="s">
        <v>102</v>
      </c>
      <c r="B24" s="17" t="s">
        <v>103</v>
      </c>
      <c r="C24" s="18" t="s">
        <v>19</v>
      </c>
      <c r="D24" s="27">
        <f>SUMIF(Compras!$B:$B,A24,Compras!$D:$D)</f>
        <v>26</v>
      </c>
      <c r="E24" s="27">
        <f>SUMIF(Ventas!$B:$B,A24,Ventas!$D:$D)</f>
        <v>5</v>
      </c>
      <c r="F24" s="27">
        <f t="shared" si="0"/>
        <v>21</v>
      </c>
      <c r="G24" s="27" t="str">
        <f t="shared" si="1"/>
        <v>OK</v>
      </c>
    </row>
    <row r="25" spans="1:7" ht="18" customHeight="1" x14ac:dyDescent="0.25">
      <c r="A25" s="20" t="s">
        <v>104</v>
      </c>
      <c r="B25" s="21" t="s">
        <v>105</v>
      </c>
      <c r="C25" s="22" t="s">
        <v>19</v>
      </c>
      <c r="D25" s="30">
        <f>SUMIF(Compras!$B:$B,A25,Compras!$D:$D)</f>
        <v>22</v>
      </c>
      <c r="E25" s="30">
        <f>SUMIF(Ventas!$B:$B,A25,Ventas!$D:$D)</f>
        <v>4</v>
      </c>
      <c r="F25" s="30">
        <f t="shared" si="0"/>
        <v>18</v>
      </c>
      <c r="G25" s="30" t="str">
        <f t="shared" si="1"/>
        <v>OK</v>
      </c>
    </row>
    <row r="26" spans="1:7" ht="18" customHeight="1" x14ac:dyDescent="0.25">
      <c r="A26" s="16" t="s">
        <v>106</v>
      </c>
      <c r="B26" s="17" t="s">
        <v>107</v>
      </c>
      <c r="C26" s="18" t="s">
        <v>19</v>
      </c>
      <c r="D26" s="27">
        <f>SUMIF(Compras!$B:$B,A26,Compras!$D:$D)</f>
        <v>11</v>
      </c>
      <c r="E26" s="27">
        <f>SUMIF(Ventas!$B:$B,A26,Ventas!$D:$D)</f>
        <v>2</v>
      </c>
      <c r="F26" s="27">
        <f t="shared" si="0"/>
        <v>9</v>
      </c>
      <c r="G26" s="27" t="str">
        <f t="shared" si="1"/>
        <v>Stock Bajo</v>
      </c>
    </row>
    <row r="27" spans="1:7" ht="18" customHeight="1" x14ac:dyDescent="0.25">
      <c r="A27" s="20" t="s">
        <v>108</v>
      </c>
      <c r="B27" s="21" t="s">
        <v>109</v>
      </c>
      <c r="C27" s="22" t="s">
        <v>19</v>
      </c>
      <c r="D27" s="30">
        <f>SUMIF(Compras!$B:$B,A27,Compras!$D:$D)</f>
        <v>19</v>
      </c>
      <c r="E27" s="30">
        <f>SUMIF(Ventas!$B:$B,A27,Ventas!$D:$D)</f>
        <v>3</v>
      </c>
      <c r="F27" s="30">
        <f t="shared" si="0"/>
        <v>16</v>
      </c>
      <c r="G27" s="30" t="str">
        <f t="shared" si="1"/>
        <v>OK</v>
      </c>
    </row>
    <row r="28" spans="1:7" ht="18" customHeight="1" x14ac:dyDescent="0.25">
      <c r="A28" s="16" t="s">
        <v>110</v>
      </c>
      <c r="B28" s="17" t="s">
        <v>111</v>
      </c>
      <c r="C28" s="18" t="s">
        <v>19</v>
      </c>
      <c r="D28" s="27">
        <f>SUMIF(Compras!$B:$B,A28,Compras!$D:$D)</f>
        <v>13</v>
      </c>
      <c r="E28" s="27">
        <f>SUMIF(Ventas!$B:$B,A28,Ventas!$D:$D)</f>
        <v>2</v>
      </c>
      <c r="F28" s="27">
        <f t="shared" si="0"/>
        <v>11</v>
      </c>
      <c r="G28" s="27" t="str">
        <f t="shared" si="1"/>
        <v>OK</v>
      </c>
    </row>
    <row r="29" spans="1:7" ht="18" customHeight="1" x14ac:dyDescent="0.25">
      <c r="A29" s="20" t="s">
        <v>112</v>
      </c>
      <c r="B29" s="21" t="s">
        <v>113</v>
      </c>
      <c r="C29" s="22" t="s">
        <v>20</v>
      </c>
      <c r="D29" s="30">
        <f>SUMIF(Compras!$B:$B,A29,Compras!$D:$D)</f>
        <v>28</v>
      </c>
      <c r="E29" s="30">
        <f>SUMIF(Ventas!$B:$B,A29,Ventas!$D:$D)</f>
        <v>5</v>
      </c>
      <c r="F29" s="30">
        <f t="shared" si="0"/>
        <v>23</v>
      </c>
      <c r="G29" s="30" t="str">
        <f t="shared" si="1"/>
        <v>OK</v>
      </c>
    </row>
    <row r="30" spans="1:7" ht="18" customHeight="1" x14ac:dyDescent="0.25">
      <c r="A30" s="16" t="s">
        <v>114</v>
      </c>
      <c r="B30" s="17" t="s">
        <v>115</v>
      </c>
      <c r="C30" s="18" t="s">
        <v>20</v>
      </c>
      <c r="D30" s="27">
        <f>SUMIF(Compras!$B:$B,A30,Compras!$D:$D)</f>
        <v>24</v>
      </c>
      <c r="E30" s="27">
        <f>SUMIF(Ventas!$B:$B,A30,Ventas!$D:$D)</f>
        <v>4</v>
      </c>
      <c r="F30" s="27">
        <f t="shared" si="0"/>
        <v>20</v>
      </c>
      <c r="G30" s="27" t="str">
        <f t="shared" si="1"/>
        <v>OK</v>
      </c>
    </row>
    <row r="31" spans="1:7" ht="18" customHeight="1" x14ac:dyDescent="0.25">
      <c r="A31" s="20" t="s">
        <v>116</v>
      </c>
      <c r="B31" s="21" t="s">
        <v>117</v>
      </c>
      <c r="C31" s="22" t="s">
        <v>20</v>
      </c>
      <c r="D31" s="30">
        <f>SUMIF(Compras!$B:$B,A31,Compras!$D:$D)</f>
        <v>15</v>
      </c>
      <c r="E31" s="30">
        <f>SUMIF(Ventas!$B:$B,A31,Ventas!$D:$D)</f>
        <v>3</v>
      </c>
      <c r="F31" s="30">
        <f t="shared" si="0"/>
        <v>12</v>
      </c>
      <c r="G31" s="30" t="str">
        <f t="shared" si="1"/>
        <v>OK</v>
      </c>
    </row>
    <row r="32" spans="1:7" ht="18" customHeight="1" x14ac:dyDescent="0.25">
      <c r="A32" s="16" t="s">
        <v>118</v>
      </c>
      <c r="B32" s="17" t="s">
        <v>119</v>
      </c>
      <c r="C32" s="18" t="s">
        <v>20</v>
      </c>
      <c r="D32" s="27">
        <f>SUMIF(Compras!$B:$B,A32,Compras!$D:$D)</f>
        <v>9</v>
      </c>
      <c r="E32" s="27">
        <f>SUMIF(Ventas!$B:$B,A32,Ventas!$D:$D)</f>
        <v>2</v>
      </c>
      <c r="F32" s="27">
        <f t="shared" si="0"/>
        <v>7</v>
      </c>
      <c r="G32" s="27" t="str">
        <f t="shared" si="1"/>
        <v>Stock Bajo</v>
      </c>
    </row>
    <row r="33" spans="1:7" ht="18" customHeight="1" x14ac:dyDescent="0.25">
      <c r="A33" s="20" t="s">
        <v>120</v>
      </c>
      <c r="B33" s="21" t="s">
        <v>121</v>
      </c>
      <c r="C33" s="22" t="s">
        <v>20</v>
      </c>
      <c r="D33" s="30">
        <f>SUMIF(Compras!$B:$B,A33,Compras!$D:$D)</f>
        <v>12</v>
      </c>
      <c r="E33" s="30">
        <f>SUMIF(Ventas!$B:$B,A33,Ventas!$D:$D)</f>
        <v>2</v>
      </c>
      <c r="F33" s="30">
        <f t="shared" si="0"/>
        <v>10</v>
      </c>
      <c r="G33" s="30" t="str">
        <f t="shared" si="1"/>
        <v>OK</v>
      </c>
    </row>
    <row r="34" spans="1:7" ht="18" customHeight="1" x14ac:dyDescent="0.25">
      <c r="A34" s="16" t="s">
        <v>122</v>
      </c>
      <c r="B34" s="17" t="s">
        <v>123</v>
      </c>
      <c r="C34" s="18" t="s">
        <v>20</v>
      </c>
      <c r="D34" s="27">
        <f>SUMIF(Compras!$B:$B,A34,Compras!$D:$D)</f>
        <v>18</v>
      </c>
      <c r="E34" s="27">
        <f>SUMIF(Ventas!$B:$B,A34,Ventas!$D:$D)</f>
        <v>3</v>
      </c>
      <c r="F34" s="27">
        <f t="shared" si="0"/>
        <v>15</v>
      </c>
      <c r="G34" s="27" t="str">
        <f t="shared" si="1"/>
        <v>OK</v>
      </c>
    </row>
    <row r="35" spans="1:7" ht="18" customHeight="1" x14ac:dyDescent="0.25">
      <c r="A35" s="20" t="s">
        <v>124</v>
      </c>
      <c r="B35" s="21" t="s">
        <v>125</v>
      </c>
      <c r="C35" s="22" t="s">
        <v>20</v>
      </c>
      <c r="D35" s="30">
        <f>SUMIF(Compras!$B:$B,A35,Compras!$D:$D)</f>
        <v>14</v>
      </c>
      <c r="E35" s="30">
        <f>SUMIF(Ventas!$B:$B,A35,Ventas!$D:$D)</f>
        <v>3</v>
      </c>
      <c r="F35" s="30">
        <f t="shared" si="0"/>
        <v>11</v>
      </c>
      <c r="G35" s="30" t="str">
        <f t="shared" si="1"/>
        <v>OK</v>
      </c>
    </row>
    <row r="36" spans="1:7" ht="18" customHeight="1" x14ac:dyDescent="0.25">
      <c r="A36" s="16" t="s">
        <v>126</v>
      </c>
      <c r="B36" s="17" t="s">
        <v>127</v>
      </c>
      <c r="C36" s="18" t="s">
        <v>20</v>
      </c>
      <c r="D36" s="27">
        <f>SUMIF(Compras!$B:$B,A36,Compras!$D:$D)</f>
        <v>11</v>
      </c>
      <c r="E36" s="27">
        <f>SUMIF(Ventas!$B:$B,A36,Ventas!$D:$D)</f>
        <v>2</v>
      </c>
      <c r="F36" s="27">
        <f t="shared" ref="F36:F67" si="2">D36-E36</f>
        <v>9</v>
      </c>
      <c r="G36" s="27" t="str">
        <f t="shared" ref="G36:G67" si="3">IF(F36&lt;=0,"Sin Stock",IF(F36&lt;5,"Crítico",IF(F36&lt;10,"Stock Bajo","OK")))</f>
        <v>Stock Bajo</v>
      </c>
    </row>
    <row r="37" spans="1:7" ht="18" customHeight="1" x14ac:dyDescent="0.25">
      <c r="A37" s="20" t="s">
        <v>128</v>
      </c>
      <c r="B37" s="21" t="s">
        <v>129</v>
      </c>
      <c r="C37" s="22" t="s">
        <v>20</v>
      </c>
      <c r="D37" s="30">
        <f>SUMIF(Compras!$B:$B,A37,Compras!$D:$D)</f>
        <v>10</v>
      </c>
      <c r="E37" s="30">
        <f>SUMIF(Ventas!$B:$B,A37,Ventas!$D:$D)</f>
        <v>2</v>
      </c>
      <c r="F37" s="30">
        <f t="shared" si="2"/>
        <v>8</v>
      </c>
      <c r="G37" s="30" t="str">
        <f t="shared" si="3"/>
        <v>Stock Bajo</v>
      </c>
    </row>
    <row r="38" spans="1:7" ht="18" customHeight="1" x14ac:dyDescent="0.25">
      <c r="A38" s="16" t="s">
        <v>130</v>
      </c>
      <c r="B38" s="17" t="s">
        <v>131</v>
      </c>
      <c r="C38" s="18" t="s">
        <v>20</v>
      </c>
      <c r="D38" s="27">
        <f>SUMIF(Compras!$B:$B,A38,Compras!$D:$D)</f>
        <v>7</v>
      </c>
      <c r="E38" s="27">
        <f>SUMIF(Ventas!$B:$B,A38,Ventas!$D:$D)</f>
        <v>1</v>
      </c>
      <c r="F38" s="27">
        <f t="shared" si="2"/>
        <v>6</v>
      </c>
      <c r="G38" s="27" t="str">
        <f t="shared" si="3"/>
        <v>Stock Bajo</v>
      </c>
    </row>
    <row r="39" spans="1:7" ht="18" customHeight="1" x14ac:dyDescent="0.25">
      <c r="A39" s="20" t="s">
        <v>132</v>
      </c>
      <c r="B39" s="21" t="s">
        <v>133</v>
      </c>
      <c r="C39" s="22" t="s">
        <v>21</v>
      </c>
      <c r="D39" s="30">
        <f>SUMIF(Compras!$B:$B,A39,Compras!$D:$D)</f>
        <v>23</v>
      </c>
      <c r="E39" s="30">
        <f>SUMIF(Ventas!$B:$B,A39,Ventas!$D:$D)</f>
        <v>4</v>
      </c>
      <c r="F39" s="30">
        <f t="shared" si="2"/>
        <v>19</v>
      </c>
      <c r="G39" s="30" t="str">
        <f t="shared" si="3"/>
        <v>OK</v>
      </c>
    </row>
    <row r="40" spans="1:7" ht="18" customHeight="1" x14ac:dyDescent="0.25">
      <c r="A40" s="16" t="s">
        <v>134</v>
      </c>
      <c r="B40" s="17" t="s">
        <v>135</v>
      </c>
      <c r="C40" s="18" t="s">
        <v>21</v>
      </c>
      <c r="D40" s="27">
        <f>SUMIF(Compras!$B:$B,A40,Compras!$D:$D)</f>
        <v>19</v>
      </c>
      <c r="E40" s="27">
        <f>SUMIF(Ventas!$B:$B,A40,Ventas!$D:$D)</f>
        <v>3</v>
      </c>
      <c r="F40" s="27">
        <f t="shared" si="2"/>
        <v>16</v>
      </c>
      <c r="G40" s="27" t="str">
        <f t="shared" si="3"/>
        <v>OK</v>
      </c>
    </row>
    <row r="41" spans="1:7" ht="18" customHeight="1" x14ac:dyDescent="0.25">
      <c r="A41" s="20" t="s">
        <v>136</v>
      </c>
      <c r="B41" s="21" t="s">
        <v>137</v>
      </c>
      <c r="C41" s="22" t="s">
        <v>21</v>
      </c>
      <c r="D41" s="30">
        <f>SUMIF(Compras!$B:$B,A41,Compras!$D:$D)</f>
        <v>17</v>
      </c>
      <c r="E41" s="30">
        <f>SUMIF(Ventas!$B:$B,A41,Ventas!$D:$D)</f>
        <v>3</v>
      </c>
      <c r="F41" s="30">
        <f t="shared" si="2"/>
        <v>14</v>
      </c>
      <c r="G41" s="30" t="str">
        <f t="shared" si="3"/>
        <v>OK</v>
      </c>
    </row>
    <row r="42" spans="1:7" ht="18" customHeight="1" x14ac:dyDescent="0.25">
      <c r="A42" s="16" t="s">
        <v>138</v>
      </c>
      <c r="B42" s="17" t="s">
        <v>139</v>
      </c>
      <c r="C42" s="18" t="s">
        <v>21</v>
      </c>
      <c r="D42" s="27">
        <f>SUMIF(Compras!$B:$B,A42,Compras!$D:$D)</f>
        <v>13</v>
      </c>
      <c r="E42" s="27">
        <f>SUMIF(Ventas!$B:$B,A42,Ventas!$D:$D)</f>
        <v>2</v>
      </c>
      <c r="F42" s="27">
        <f t="shared" si="2"/>
        <v>11</v>
      </c>
      <c r="G42" s="27" t="str">
        <f t="shared" si="3"/>
        <v>OK</v>
      </c>
    </row>
    <row r="43" spans="1:7" ht="18" customHeight="1" x14ac:dyDescent="0.25">
      <c r="A43" s="20" t="s">
        <v>140</v>
      </c>
      <c r="B43" s="21" t="s">
        <v>141</v>
      </c>
      <c r="C43" s="22" t="s">
        <v>21</v>
      </c>
      <c r="D43" s="30">
        <f>SUMIF(Compras!$B:$B,A43,Compras!$D:$D)</f>
        <v>26</v>
      </c>
      <c r="E43" s="30">
        <f>SUMIF(Ventas!$B:$B,A43,Ventas!$D:$D)</f>
        <v>4</v>
      </c>
      <c r="F43" s="30">
        <f t="shared" si="2"/>
        <v>22</v>
      </c>
      <c r="G43" s="30" t="str">
        <f t="shared" si="3"/>
        <v>OK</v>
      </c>
    </row>
    <row r="44" spans="1:7" ht="18" customHeight="1" x14ac:dyDescent="0.25">
      <c r="A44" s="16" t="s">
        <v>142</v>
      </c>
      <c r="B44" s="17" t="s">
        <v>143</v>
      </c>
      <c r="C44" s="18" t="s">
        <v>22</v>
      </c>
      <c r="D44" s="27">
        <f>SUMIF(Compras!$B:$B,A44,Compras!$D:$D)</f>
        <v>12</v>
      </c>
      <c r="E44" s="27">
        <f>SUMIF(Ventas!$B:$B,A44,Ventas!$D:$D)</f>
        <v>2</v>
      </c>
      <c r="F44" s="27">
        <f t="shared" si="2"/>
        <v>10</v>
      </c>
      <c r="G44" s="27" t="str">
        <f t="shared" si="3"/>
        <v>OK</v>
      </c>
    </row>
    <row r="45" spans="1:7" ht="18" customHeight="1" x14ac:dyDescent="0.25">
      <c r="A45" s="20" t="s">
        <v>144</v>
      </c>
      <c r="B45" s="21" t="s">
        <v>145</v>
      </c>
      <c r="C45" s="22" t="s">
        <v>22</v>
      </c>
      <c r="D45" s="30">
        <f>SUMIF(Compras!$B:$B,A45,Compras!$D:$D)</f>
        <v>9</v>
      </c>
      <c r="E45" s="30">
        <f>SUMIF(Ventas!$B:$B,A45,Ventas!$D:$D)</f>
        <v>1</v>
      </c>
      <c r="F45" s="30">
        <f t="shared" si="2"/>
        <v>8</v>
      </c>
      <c r="G45" s="30" t="str">
        <f t="shared" si="3"/>
        <v>Stock Bajo</v>
      </c>
    </row>
    <row r="46" spans="1:7" ht="18" customHeight="1" x14ac:dyDescent="0.25">
      <c r="A46" s="16" t="s">
        <v>146</v>
      </c>
      <c r="B46" s="17" t="s">
        <v>147</v>
      </c>
      <c r="C46" s="18" t="s">
        <v>22</v>
      </c>
      <c r="D46" s="27">
        <f>SUMIF(Compras!$B:$B,A46,Compras!$D:$D)</f>
        <v>8</v>
      </c>
      <c r="E46" s="27">
        <f>SUMIF(Ventas!$B:$B,A46,Ventas!$D:$D)</f>
        <v>1</v>
      </c>
      <c r="F46" s="27">
        <f t="shared" si="2"/>
        <v>7</v>
      </c>
      <c r="G46" s="27" t="str">
        <f t="shared" si="3"/>
        <v>Stock Bajo</v>
      </c>
    </row>
    <row r="47" spans="1:7" ht="18" customHeight="1" x14ac:dyDescent="0.25">
      <c r="A47" s="20" t="s">
        <v>148</v>
      </c>
      <c r="B47" s="21" t="s">
        <v>149</v>
      </c>
      <c r="C47" s="22" t="s">
        <v>22</v>
      </c>
      <c r="D47" s="30">
        <f>SUMIF(Compras!$B:$B,A47,Compras!$D:$D)</f>
        <v>21</v>
      </c>
      <c r="E47" s="30">
        <f>SUMIF(Ventas!$B:$B,A47,Ventas!$D:$D)</f>
        <v>3</v>
      </c>
      <c r="F47" s="30">
        <f t="shared" si="2"/>
        <v>18</v>
      </c>
      <c r="G47" s="30" t="str">
        <f t="shared" si="3"/>
        <v>OK</v>
      </c>
    </row>
    <row r="48" spans="1:7" ht="18" customHeight="1" x14ac:dyDescent="0.25">
      <c r="A48" s="16" t="s">
        <v>150</v>
      </c>
      <c r="B48" s="17" t="s">
        <v>151</v>
      </c>
      <c r="C48" s="18" t="s">
        <v>22</v>
      </c>
      <c r="D48" s="27">
        <f>SUMIF(Compras!$B:$B,A48,Compras!$D:$D)</f>
        <v>16</v>
      </c>
      <c r="E48" s="27">
        <f>SUMIF(Ventas!$B:$B,A48,Ventas!$D:$D)</f>
        <v>2</v>
      </c>
      <c r="F48" s="27">
        <f t="shared" si="2"/>
        <v>14</v>
      </c>
      <c r="G48" s="27" t="str">
        <f t="shared" si="3"/>
        <v>OK</v>
      </c>
    </row>
    <row r="49" spans="1:7" ht="18" customHeight="1" x14ac:dyDescent="0.25">
      <c r="A49" s="20" t="s">
        <v>152</v>
      </c>
      <c r="B49" s="21" t="s">
        <v>153</v>
      </c>
      <c r="C49" s="22" t="s">
        <v>23</v>
      </c>
      <c r="D49" s="30">
        <f>SUMIF(Compras!$B:$B,A49,Compras!$D:$D)</f>
        <v>40</v>
      </c>
      <c r="E49" s="30">
        <f>SUMIF(Ventas!$B:$B,A49,Ventas!$D:$D)</f>
        <v>6</v>
      </c>
      <c r="F49" s="30">
        <f t="shared" si="2"/>
        <v>34</v>
      </c>
      <c r="G49" s="30" t="str">
        <f t="shared" si="3"/>
        <v>OK</v>
      </c>
    </row>
    <row r="50" spans="1:7" ht="18" customHeight="1" x14ac:dyDescent="0.25">
      <c r="A50" s="16" t="s">
        <v>154</v>
      </c>
      <c r="B50" s="17" t="s">
        <v>155</v>
      </c>
      <c r="C50" s="18" t="s">
        <v>23</v>
      </c>
      <c r="D50" s="27">
        <f>SUMIF(Compras!$B:$B,A50,Compras!$D:$D)</f>
        <v>35</v>
      </c>
      <c r="E50" s="27">
        <f>SUMIF(Ventas!$B:$B,A50,Ventas!$D:$D)</f>
        <v>5</v>
      </c>
      <c r="F50" s="27">
        <f t="shared" si="2"/>
        <v>30</v>
      </c>
      <c r="G50" s="27" t="str">
        <f t="shared" si="3"/>
        <v>OK</v>
      </c>
    </row>
    <row r="51" spans="1:7" ht="18" customHeight="1" x14ac:dyDescent="0.25">
      <c r="A51" s="20" t="s">
        <v>156</v>
      </c>
      <c r="B51" s="21" t="s">
        <v>157</v>
      </c>
      <c r="C51" s="22" t="s">
        <v>23</v>
      </c>
      <c r="D51" s="30">
        <f>SUMIF(Compras!$B:$B,A51,Compras!$D:$D)</f>
        <v>32</v>
      </c>
      <c r="E51" s="30">
        <f>SUMIF(Ventas!$B:$B,A51,Ventas!$D:$D)</f>
        <v>5</v>
      </c>
      <c r="F51" s="30">
        <f t="shared" si="2"/>
        <v>27</v>
      </c>
      <c r="G51" s="30" t="str">
        <f t="shared" si="3"/>
        <v>OK</v>
      </c>
    </row>
    <row r="52" spans="1:7" ht="18" customHeight="1" x14ac:dyDescent="0.25">
      <c r="A52" s="16" t="s">
        <v>158</v>
      </c>
      <c r="B52" s="17" t="s">
        <v>159</v>
      </c>
      <c r="C52" s="18" t="s">
        <v>23</v>
      </c>
      <c r="D52" s="27">
        <f>SUMIF(Compras!$B:$B,A52,Compras!$D:$D)</f>
        <v>45</v>
      </c>
      <c r="E52" s="27">
        <f>SUMIF(Ventas!$B:$B,A52,Ventas!$D:$D)</f>
        <v>6</v>
      </c>
      <c r="F52" s="27">
        <f t="shared" si="2"/>
        <v>39</v>
      </c>
      <c r="G52" s="27" t="str">
        <f t="shared" si="3"/>
        <v>OK</v>
      </c>
    </row>
    <row r="53" spans="1:7" ht="18" customHeight="1" x14ac:dyDescent="0.25">
      <c r="A53" s="20" t="s">
        <v>160</v>
      </c>
      <c r="B53" s="21" t="s">
        <v>161</v>
      </c>
      <c r="C53" s="22" t="s">
        <v>23</v>
      </c>
      <c r="D53" s="30">
        <f>SUMIF(Compras!$B:$B,A53,Compras!$D:$D)</f>
        <v>28</v>
      </c>
      <c r="E53" s="30">
        <f>SUMIF(Ventas!$B:$B,A53,Ventas!$D:$D)</f>
        <v>4</v>
      </c>
      <c r="F53" s="30">
        <f t="shared" si="2"/>
        <v>24</v>
      </c>
      <c r="G53" s="30" t="str">
        <f t="shared" si="3"/>
        <v>OK</v>
      </c>
    </row>
    <row r="54" spans="1:7" ht="18" customHeight="1" x14ac:dyDescent="0.25">
      <c r="A54" s="16" t="s">
        <v>162</v>
      </c>
      <c r="B54" s="17" t="s">
        <v>163</v>
      </c>
      <c r="C54" s="18" t="s">
        <v>24</v>
      </c>
      <c r="D54" s="27">
        <f>SUMIF(Compras!$B:$B,A54,Compras!$D:$D)</f>
        <v>10</v>
      </c>
      <c r="E54" s="27">
        <f>SUMIF(Ventas!$B:$B,A54,Ventas!$D:$D)</f>
        <v>2</v>
      </c>
      <c r="F54" s="27">
        <f t="shared" si="2"/>
        <v>8</v>
      </c>
      <c r="G54" s="27" t="str">
        <f t="shared" si="3"/>
        <v>Stock Bajo</v>
      </c>
    </row>
    <row r="55" spans="1:7" ht="18" customHeight="1" x14ac:dyDescent="0.25">
      <c r="A55" s="20" t="s">
        <v>164</v>
      </c>
      <c r="B55" s="21" t="s">
        <v>165</v>
      </c>
      <c r="C55" s="22" t="s">
        <v>24</v>
      </c>
      <c r="D55" s="30">
        <f>SUMIF(Compras!$B:$B,A55,Compras!$D:$D)</f>
        <v>8</v>
      </c>
      <c r="E55" s="30">
        <f>SUMIF(Ventas!$B:$B,A55,Ventas!$D:$D)</f>
        <v>1</v>
      </c>
      <c r="F55" s="30">
        <f t="shared" si="2"/>
        <v>7</v>
      </c>
      <c r="G55" s="30" t="str">
        <f t="shared" si="3"/>
        <v>Stock Bajo</v>
      </c>
    </row>
    <row r="56" spans="1:7" ht="18" customHeight="1" x14ac:dyDescent="0.25">
      <c r="A56" s="16" t="s">
        <v>166</v>
      </c>
      <c r="B56" s="17" t="s">
        <v>167</v>
      </c>
      <c r="C56" s="18" t="s">
        <v>24</v>
      </c>
      <c r="D56" s="27">
        <f>SUMIF(Compras!$B:$B,A56,Compras!$D:$D)</f>
        <v>7</v>
      </c>
      <c r="E56" s="27">
        <f>SUMIF(Ventas!$B:$B,A56,Ventas!$D:$D)</f>
        <v>1</v>
      </c>
      <c r="F56" s="27">
        <f t="shared" si="2"/>
        <v>6</v>
      </c>
      <c r="G56" s="27" t="str">
        <f t="shared" si="3"/>
        <v>Stock Bajo</v>
      </c>
    </row>
    <row r="57" spans="1:7" ht="18" customHeight="1" x14ac:dyDescent="0.25">
      <c r="A57" s="20" t="s">
        <v>168</v>
      </c>
      <c r="B57" s="21" t="s">
        <v>169</v>
      </c>
      <c r="C57" s="22" t="s">
        <v>24</v>
      </c>
      <c r="D57" s="30">
        <f>SUMIF(Compras!$B:$B,A57,Compras!$D:$D)</f>
        <v>11</v>
      </c>
      <c r="E57" s="30">
        <f>SUMIF(Ventas!$B:$B,A57,Ventas!$D:$D)</f>
        <v>2</v>
      </c>
      <c r="F57" s="30">
        <f t="shared" si="2"/>
        <v>9</v>
      </c>
      <c r="G57" s="30" t="str">
        <f t="shared" si="3"/>
        <v>Stock Bajo</v>
      </c>
    </row>
    <row r="58" spans="1:7" ht="18" customHeight="1" x14ac:dyDescent="0.25">
      <c r="A58" s="16" t="s">
        <v>170</v>
      </c>
      <c r="B58" s="17" t="s">
        <v>171</v>
      </c>
      <c r="C58" s="18" t="s">
        <v>24</v>
      </c>
      <c r="D58" s="27">
        <f>SUMIF(Compras!$B:$B,A58,Compras!$D:$D)</f>
        <v>6</v>
      </c>
      <c r="E58" s="27">
        <f>SUMIF(Ventas!$B:$B,A58,Ventas!$D:$D)</f>
        <v>1</v>
      </c>
      <c r="F58" s="27">
        <f t="shared" si="2"/>
        <v>5</v>
      </c>
      <c r="G58" s="27" t="str">
        <f t="shared" si="3"/>
        <v>Stock Bajo</v>
      </c>
    </row>
    <row r="59" spans="1:7" ht="18" customHeight="1" x14ac:dyDescent="0.25">
      <c r="A59" s="20" t="s">
        <v>172</v>
      </c>
      <c r="B59" s="21" t="s">
        <v>173</v>
      </c>
      <c r="C59" s="22" t="s">
        <v>25</v>
      </c>
      <c r="D59" s="30">
        <f>SUMIF(Compras!$B:$B,A59,Compras!$D:$D)</f>
        <v>14</v>
      </c>
      <c r="E59" s="30">
        <f>SUMIF(Ventas!$B:$B,A59,Ventas!$D:$D)</f>
        <v>2</v>
      </c>
      <c r="F59" s="30">
        <f t="shared" si="2"/>
        <v>12</v>
      </c>
      <c r="G59" s="30" t="str">
        <f t="shared" si="3"/>
        <v>OK</v>
      </c>
    </row>
    <row r="60" spans="1:7" ht="18" customHeight="1" x14ac:dyDescent="0.25">
      <c r="A60" s="16" t="s">
        <v>174</v>
      </c>
      <c r="B60" s="17" t="s">
        <v>175</v>
      </c>
      <c r="C60" s="18" t="s">
        <v>25</v>
      </c>
      <c r="D60" s="27">
        <f>SUMIF(Compras!$B:$B,A60,Compras!$D:$D)</f>
        <v>9</v>
      </c>
      <c r="E60" s="27">
        <f>SUMIF(Ventas!$B:$B,A60,Ventas!$D:$D)</f>
        <v>1</v>
      </c>
      <c r="F60" s="27">
        <f t="shared" si="2"/>
        <v>8</v>
      </c>
      <c r="G60" s="27" t="str">
        <f t="shared" si="3"/>
        <v>Stock Bajo</v>
      </c>
    </row>
    <row r="61" spans="1:7" ht="18" customHeight="1" x14ac:dyDescent="0.25">
      <c r="A61" s="20" t="s">
        <v>176</v>
      </c>
      <c r="B61" s="21" t="s">
        <v>177</v>
      </c>
      <c r="C61" s="22" t="s">
        <v>25</v>
      </c>
      <c r="D61" s="30">
        <f>SUMIF(Compras!$B:$B,A61,Compras!$D:$D)</f>
        <v>8</v>
      </c>
      <c r="E61" s="30">
        <f>SUMIF(Ventas!$B:$B,A61,Ventas!$D:$D)</f>
        <v>1</v>
      </c>
      <c r="F61" s="30">
        <f t="shared" si="2"/>
        <v>7</v>
      </c>
      <c r="G61" s="30" t="str">
        <f t="shared" si="3"/>
        <v>Stock Bajo</v>
      </c>
    </row>
    <row r="62" spans="1:7" ht="18" customHeight="1" x14ac:dyDescent="0.25">
      <c r="A62" s="16" t="s">
        <v>178</v>
      </c>
      <c r="B62" s="17" t="s">
        <v>179</v>
      </c>
      <c r="C62" s="18" t="s">
        <v>25</v>
      </c>
      <c r="D62" s="27">
        <f>SUMIF(Compras!$B:$B,A62,Compras!$D:$D)</f>
        <v>12</v>
      </c>
      <c r="E62" s="27">
        <f>SUMIF(Ventas!$B:$B,A62,Ventas!$D:$D)</f>
        <v>2</v>
      </c>
      <c r="F62" s="27">
        <f t="shared" si="2"/>
        <v>10</v>
      </c>
      <c r="G62" s="27" t="str">
        <f t="shared" si="3"/>
        <v>OK</v>
      </c>
    </row>
    <row r="63" spans="1:7" ht="18" customHeight="1" x14ac:dyDescent="0.25">
      <c r="A63" s="20" t="s">
        <v>180</v>
      </c>
      <c r="B63" s="21" t="s">
        <v>181</v>
      </c>
      <c r="C63" s="22" t="s">
        <v>25</v>
      </c>
      <c r="D63" s="30">
        <f>SUMIF(Compras!$B:$B,A63,Compras!$D:$D)</f>
        <v>10</v>
      </c>
      <c r="E63" s="30">
        <f>SUMIF(Ventas!$B:$B,A63,Ventas!$D:$D)</f>
        <v>2</v>
      </c>
      <c r="F63" s="30">
        <f t="shared" si="2"/>
        <v>8</v>
      </c>
      <c r="G63" s="30" t="str">
        <f t="shared" si="3"/>
        <v>Stock Bajo</v>
      </c>
    </row>
    <row r="64" spans="1:7" ht="18" customHeight="1" x14ac:dyDescent="0.25">
      <c r="A64" s="16" t="s">
        <v>182</v>
      </c>
      <c r="B64" s="17" t="s">
        <v>183</v>
      </c>
      <c r="C64" s="18" t="s">
        <v>184</v>
      </c>
      <c r="D64" s="27">
        <f>SUMIF(Compras!$B:$B,A64,Compras!$D:$D)</f>
        <v>7</v>
      </c>
      <c r="E64" s="27">
        <f>SUMIF(Ventas!$B:$B,A64,Ventas!$D:$D)</f>
        <v>1</v>
      </c>
      <c r="F64" s="27">
        <f t="shared" si="2"/>
        <v>6</v>
      </c>
      <c r="G64" s="27" t="str">
        <f t="shared" si="3"/>
        <v>Stock Bajo</v>
      </c>
    </row>
    <row r="65" spans="1:7" ht="18" customHeight="1" x14ac:dyDescent="0.25">
      <c r="A65" s="20" t="s">
        <v>185</v>
      </c>
      <c r="B65" s="21" t="s">
        <v>186</v>
      </c>
      <c r="C65" s="22" t="s">
        <v>184</v>
      </c>
      <c r="D65" s="30">
        <f>SUMIF(Compras!$B:$B,A65,Compras!$D:$D)</f>
        <v>9</v>
      </c>
      <c r="E65" s="30">
        <f>SUMIF(Ventas!$B:$B,A65,Ventas!$D:$D)</f>
        <v>1</v>
      </c>
      <c r="F65" s="30">
        <f t="shared" si="2"/>
        <v>8</v>
      </c>
      <c r="G65" s="30" t="str">
        <f t="shared" si="3"/>
        <v>Stock Bajo</v>
      </c>
    </row>
    <row r="66" spans="1:7" ht="18" customHeight="1" x14ac:dyDescent="0.25">
      <c r="A66" s="16" t="s">
        <v>187</v>
      </c>
      <c r="B66" s="17" t="s">
        <v>188</v>
      </c>
      <c r="C66" s="18" t="s">
        <v>184</v>
      </c>
      <c r="D66" s="27">
        <f>SUMIF(Compras!$B:$B,A66,Compras!$D:$D)</f>
        <v>6</v>
      </c>
      <c r="E66" s="27">
        <f>SUMIF(Ventas!$B:$B,A66,Ventas!$D:$D)</f>
        <v>1</v>
      </c>
      <c r="F66" s="27">
        <f t="shared" si="2"/>
        <v>5</v>
      </c>
      <c r="G66" s="27" t="str">
        <f t="shared" si="3"/>
        <v>Stock Bajo</v>
      </c>
    </row>
    <row r="67" spans="1:7" ht="18" customHeight="1" x14ac:dyDescent="0.25">
      <c r="A67" s="20" t="s">
        <v>189</v>
      </c>
      <c r="B67" s="21" t="s">
        <v>190</v>
      </c>
      <c r="C67" s="22" t="s">
        <v>184</v>
      </c>
      <c r="D67" s="30">
        <f>SUMIF(Compras!$B:$B,A67,Compras!$D:$D)</f>
        <v>11</v>
      </c>
      <c r="E67" s="30">
        <f>SUMIF(Ventas!$B:$B,A67,Ventas!$D:$D)</f>
        <v>2</v>
      </c>
      <c r="F67" s="30">
        <f t="shared" si="2"/>
        <v>9</v>
      </c>
      <c r="G67" s="30" t="str">
        <f t="shared" si="3"/>
        <v>Stock Bajo</v>
      </c>
    </row>
    <row r="68" spans="1:7" ht="18" customHeight="1" x14ac:dyDescent="0.25">
      <c r="A68" s="16" t="s">
        <v>191</v>
      </c>
      <c r="B68" s="17" t="s">
        <v>192</v>
      </c>
      <c r="C68" s="18" t="s">
        <v>184</v>
      </c>
      <c r="D68" s="27">
        <f>SUMIF(Compras!$B:$B,A68,Compras!$D:$D)</f>
        <v>8</v>
      </c>
      <c r="E68" s="27">
        <f>SUMIF(Ventas!$B:$B,A68,Ventas!$D:$D)</f>
        <v>1</v>
      </c>
      <c r="F68" s="27">
        <f t="shared" ref="F68:F99" si="4">D68-E68</f>
        <v>7</v>
      </c>
      <c r="G68" s="27" t="str">
        <f t="shared" ref="G68:G99" si="5">IF(F68&lt;=0,"Sin Stock",IF(F68&lt;5,"Crítico",IF(F68&lt;10,"Stock Bajo","OK")))</f>
        <v>Stock Bajo</v>
      </c>
    </row>
    <row r="69" spans="1:7" ht="18" customHeight="1" x14ac:dyDescent="0.25">
      <c r="A69" s="20" t="s">
        <v>193</v>
      </c>
      <c r="B69" s="21" t="s">
        <v>194</v>
      </c>
      <c r="C69" s="22" t="s">
        <v>17</v>
      </c>
      <c r="D69" s="30">
        <f>SUMIF(Compras!$B:$B,A69,Compras!$D:$D)</f>
        <v>24</v>
      </c>
      <c r="E69" s="30">
        <f>SUMIF(Ventas!$B:$B,A69,Ventas!$D:$D)</f>
        <v>4</v>
      </c>
      <c r="F69" s="30">
        <f t="shared" si="4"/>
        <v>20</v>
      </c>
      <c r="G69" s="30" t="str">
        <f t="shared" si="5"/>
        <v>OK</v>
      </c>
    </row>
    <row r="70" spans="1:7" ht="18" customHeight="1" x14ac:dyDescent="0.25">
      <c r="A70" s="16" t="s">
        <v>195</v>
      </c>
      <c r="B70" s="17" t="s">
        <v>196</v>
      </c>
      <c r="C70" s="18" t="s">
        <v>17</v>
      </c>
      <c r="D70" s="27">
        <f>SUMIF(Compras!$B:$B,A70,Compras!$D:$D)</f>
        <v>20</v>
      </c>
      <c r="E70" s="27">
        <f>SUMIF(Ventas!$B:$B,A70,Ventas!$D:$D)</f>
        <v>3</v>
      </c>
      <c r="F70" s="27">
        <f t="shared" si="4"/>
        <v>17</v>
      </c>
      <c r="G70" s="27" t="str">
        <f t="shared" si="5"/>
        <v>OK</v>
      </c>
    </row>
    <row r="71" spans="1:7" ht="18" customHeight="1" x14ac:dyDescent="0.25">
      <c r="A71" s="20" t="s">
        <v>197</v>
      </c>
      <c r="B71" s="21" t="s">
        <v>198</v>
      </c>
      <c r="C71" s="22" t="s">
        <v>17</v>
      </c>
      <c r="D71" s="30">
        <f>SUMIF(Compras!$B:$B,A71,Compras!$D:$D)</f>
        <v>28</v>
      </c>
      <c r="E71" s="30">
        <f>SUMIF(Ventas!$B:$B,A71,Ventas!$D:$D)</f>
        <v>4</v>
      </c>
      <c r="F71" s="30">
        <f t="shared" si="4"/>
        <v>24</v>
      </c>
      <c r="G71" s="30" t="str">
        <f t="shared" si="5"/>
        <v>OK</v>
      </c>
    </row>
    <row r="72" spans="1:7" ht="18" customHeight="1" x14ac:dyDescent="0.25">
      <c r="A72" s="16" t="s">
        <v>199</v>
      </c>
      <c r="B72" s="17" t="s">
        <v>200</v>
      </c>
      <c r="C72" s="18" t="s">
        <v>17</v>
      </c>
      <c r="D72" s="27">
        <f>SUMIF(Compras!$B:$B,A72,Compras!$D:$D)</f>
        <v>21</v>
      </c>
      <c r="E72" s="27">
        <f>SUMIF(Ventas!$B:$B,A72,Ventas!$D:$D)</f>
        <v>3</v>
      </c>
      <c r="F72" s="27">
        <f t="shared" si="4"/>
        <v>18</v>
      </c>
      <c r="G72" s="27" t="str">
        <f t="shared" si="5"/>
        <v>OK</v>
      </c>
    </row>
    <row r="73" spans="1:7" ht="18" customHeight="1" x14ac:dyDescent="0.25">
      <c r="A73" s="20" t="s">
        <v>201</v>
      </c>
      <c r="B73" s="21" t="s">
        <v>202</v>
      </c>
      <c r="C73" s="22" t="s">
        <v>17</v>
      </c>
      <c r="D73" s="30">
        <f>SUMIF(Compras!$B:$B,A73,Compras!$D:$D)</f>
        <v>26</v>
      </c>
      <c r="E73" s="30">
        <f>SUMIF(Ventas!$B:$B,A73,Ventas!$D:$D)</f>
        <v>4</v>
      </c>
      <c r="F73" s="30">
        <f t="shared" si="4"/>
        <v>22</v>
      </c>
      <c r="G73" s="30" t="str">
        <f t="shared" si="5"/>
        <v>OK</v>
      </c>
    </row>
    <row r="74" spans="1:7" ht="18" customHeight="1" x14ac:dyDescent="0.25">
      <c r="A74" s="16" t="s">
        <v>203</v>
      </c>
      <c r="B74" s="17" t="s">
        <v>204</v>
      </c>
      <c r="C74" s="18" t="s">
        <v>205</v>
      </c>
      <c r="D74" s="27">
        <f>SUMIF(Compras!$B:$B,A74,Compras!$D:$D)</f>
        <v>30</v>
      </c>
      <c r="E74" s="27">
        <f>SUMIF(Ventas!$B:$B,A74,Ventas!$D:$D)</f>
        <v>5</v>
      </c>
      <c r="F74" s="27">
        <f t="shared" si="4"/>
        <v>25</v>
      </c>
      <c r="G74" s="27" t="str">
        <f t="shared" si="5"/>
        <v>OK</v>
      </c>
    </row>
    <row r="75" spans="1:7" ht="18" customHeight="1" x14ac:dyDescent="0.25">
      <c r="A75" s="20" t="s">
        <v>206</v>
      </c>
      <c r="B75" s="21" t="s">
        <v>207</v>
      </c>
      <c r="C75" s="22" t="s">
        <v>205</v>
      </c>
      <c r="D75" s="30">
        <f>SUMIF(Compras!$B:$B,A75,Compras!$D:$D)</f>
        <v>22</v>
      </c>
      <c r="E75" s="30">
        <f>SUMIF(Ventas!$B:$B,A75,Ventas!$D:$D)</f>
        <v>4</v>
      </c>
      <c r="F75" s="30">
        <f t="shared" si="4"/>
        <v>18</v>
      </c>
      <c r="G75" s="30" t="str">
        <f t="shared" si="5"/>
        <v>OK</v>
      </c>
    </row>
    <row r="76" spans="1:7" ht="18" customHeight="1" x14ac:dyDescent="0.25">
      <c r="A76" s="16" t="s">
        <v>208</v>
      </c>
      <c r="B76" s="17" t="s">
        <v>209</v>
      </c>
      <c r="C76" s="18" t="s">
        <v>205</v>
      </c>
      <c r="D76" s="27">
        <f>SUMIF(Compras!$B:$B,A76,Compras!$D:$D)</f>
        <v>25</v>
      </c>
      <c r="E76" s="27">
        <f>SUMIF(Ventas!$B:$B,A76,Ventas!$D:$D)</f>
        <v>4</v>
      </c>
      <c r="F76" s="27">
        <f t="shared" si="4"/>
        <v>21</v>
      </c>
      <c r="G76" s="27" t="str">
        <f t="shared" si="5"/>
        <v>OK</v>
      </c>
    </row>
    <row r="77" spans="1:7" ht="18" customHeight="1" x14ac:dyDescent="0.25">
      <c r="A77" s="20" t="s">
        <v>210</v>
      </c>
      <c r="B77" s="21" t="s">
        <v>211</v>
      </c>
      <c r="C77" s="22" t="s">
        <v>205</v>
      </c>
      <c r="D77" s="30">
        <f>SUMIF(Compras!$B:$B,A77,Compras!$D:$D)</f>
        <v>18</v>
      </c>
      <c r="E77" s="30">
        <f>SUMIF(Ventas!$B:$B,A77,Ventas!$D:$D)</f>
        <v>3</v>
      </c>
      <c r="F77" s="30">
        <f t="shared" si="4"/>
        <v>15</v>
      </c>
      <c r="G77" s="30" t="str">
        <f t="shared" si="5"/>
        <v>OK</v>
      </c>
    </row>
    <row r="78" spans="1:7" ht="18" customHeight="1" x14ac:dyDescent="0.25">
      <c r="A78" s="16" t="s">
        <v>212</v>
      </c>
      <c r="B78" s="17" t="s">
        <v>213</v>
      </c>
      <c r="C78" s="18" t="s">
        <v>205</v>
      </c>
      <c r="D78" s="27">
        <f>SUMIF(Compras!$B:$B,A78,Compras!$D:$D)</f>
        <v>27</v>
      </c>
      <c r="E78" s="27">
        <f>SUMIF(Ventas!$B:$B,A78,Ventas!$D:$D)</f>
        <v>4</v>
      </c>
      <c r="F78" s="27">
        <f t="shared" si="4"/>
        <v>23</v>
      </c>
      <c r="G78" s="27" t="str">
        <f t="shared" si="5"/>
        <v>OK</v>
      </c>
    </row>
    <row r="79" spans="1:7" ht="18" customHeight="1" x14ac:dyDescent="0.25">
      <c r="A79" s="20" t="s">
        <v>214</v>
      </c>
      <c r="B79" s="21" t="s">
        <v>215</v>
      </c>
      <c r="C79" s="22" t="s">
        <v>216</v>
      </c>
      <c r="D79" s="30">
        <f>SUMIF(Compras!$B:$B,A79,Compras!$D:$D)</f>
        <v>14</v>
      </c>
      <c r="E79" s="30">
        <f>SUMIF(Ventas!$B:$B,A79,Ventas!$D:$D)</f>
        <v>2</v>
      </c>
      <c r="F79" s="30">
        <f t="shared" si="4"/>
        <v>12</v>
      </c>
      <c r="G79" s="30" t="str">
        <f t="shared" si="5"/>
        <v>OK</v>
      </c>
    </row>
    <row r="80" spans="1:7" ht="18" customHeight="1" x14ac:dyDescent="0.25">
      <c r="A80" s="16" t="s">
        <v>217</v>
      </c>
      <c r="B80" s="17" t="s">
        <v>218</v>
      </c>
      <c r="C80" s="18" t="s">
        <v>216</v>
      </c>
      <c r="D80" s="27">
        <f>SUMIF(Compras!$B:$B,A80,Compras!$D:$D)</f>
        <v>9</v>
      </c>
      <c r="E80" s="27">
        <f>SUMIF(Ventas!$B:$B,A80,Ventas!$D:$D)</f>
        <v>1</v>
      </c>
      <c r="F80" s="27">
        <f t="shared" si="4"/>
        <v>8</v>
      </c>
      <c r="G80" s="27" t="str">
        <f t="shared" si="5"/>
        <v>Stock Bajo</v>
      </c>
    </row>
    <row r="81" spans="1:7" ht="18" customHeight="1" x14ac:dyDescent="0.25">
      <c r="A81" s="20" t="s">
        <v>219</v>
      </c>
      <c r="B81" s="21" t="s">
        <v>220</v>
      </c>
      <c r="C81" s="22" t="s">
        <v>216</v>
      </c>
      <c r="D81" s="30">
        <f>SUMIF(Compras!$B:$B,A81,Compras!$D:$D)</f>
        <v>16</v>
      </c>
      <c r="E81" s="30">
        <f>SUMIF(Ventas!$B:$B,A81,Ventas!$D:$D)</f>
        <v>2</v>
      </c>
      <c r="F81" s="30">
        <f t="shared" si="4"/>
        <v>14</v>
      </c>
      <c r="G81" s="30" t="str">
        <f t="shared" si="5"/>
        <v>OK</v>
      </c>
    </row>
    <row r="82" spans="1:7" ht="18" customHeight="1" x14ac:dyDescent="0.25">
      <c r="A82" s="16" t="s">
        <v>221</v>
      </c>
      <c r="B82" s="17" t="s">
        <v>222</v>
      </c>
      <c r="C82" s="18" t="s">
        <v>216</v>
      </c>
      <c r="D82" s="27">
        <f>SUMIF(Compras!$B:$B,A82,Compras!$D:$D)</f>
        <v>12</v>
      </c>
      <c r="E82" s="27">
        <f>SUMIF(Ventas!$B:$B,A82,Ventas!$D:$D)</f>
        <v>2</v>
      </c>
      <c r="F82" s="27">
        <f t="shared" si="4"/>
        <v>10</v>
      </c>
      <c r="G82" s="27" t="str">
        <f t="shared" si="5"/>
        <v>OK</v>
      </c>
    </row>
    <row r="83" spans="1:7" ht="18" customHeight="1" x14ac:dyDescent="0.25">
      <c r="A83" s="20" t="s">
        <v>223</v>
      </c>
      <c r="B83" s="21" t="s">
        <v>224</v>
      </c>
      <c r="C83" s="22" t="s">
        <v>216</v>
      </c>
      <c r="D83" s="30">
        <f>SUMIF(Compras!$B:$B,A83,Compras!$D:$D)</f>
        <v>8</v>
      </c>
      <c r="E83" s="30">
        <f>SUMIF(Ventas!$B:$B,A83,Ventas!$D:$D)</f>
        <v>1</v>
      </c>
      <c r="F83" s="30">
        <f t="shared" si="4"/>
        <v>7</v>
      </c>
      <c r="G83" s="30" t="str">
        <f t="shared" si="5"/>
        <v>Stock Bajo</v>
      </c>
    </row>
    <row r="84" spans="1:7" ht="18" customHeight="1" x14ac:dyDescent="0.25">
      <c r="A84" s="16" t="s">
        <v>225</v>
      </c>
      <c r="B84" s="17" t="s">
        <v>226</v>
      </c>
      <c r="C84" s="18" t="s">
        <v>227</v>
      </c>
      <c r="D84" s="27">
        <f>SUMIF(Compras!$B:$B,A84,Compras!$D:$D)</f>
        <v>19</v>
      </c>
      <c r="E84" s="27">
        <f>SUMIF(Ventas!$B:$B,A84,Ventas!$D:$D)</f>
        <v>3</v>
      </c>
      <c r="F84" s="27">
        <f t="shared" si="4"/>
        <v>16</v>
      </c>
      <c r="G84" s="27" t="str">
        <f t="shared" si="5"/>
        <v>OK</v>
      </c>
    </row>
    <row r="85" spans="1:7" ht="18" customHeight="1" x14ac:dyDescent="0.25">
      <c r="A85" s="20" t="s">
        <v>228</v>
      </c>
      <c r="B85" s="21" t="s">
        <v>229</v>
      </c>
      <c r="C85" s="22" t="s">
        <v>227</v>
      </c>
      <c r="D85" s="30">
        <f>SUMIF(Compras!$B:$B,A85,Compras!$D:$D)</f>
        <v>11</v>
      </c>
      <c r="E85" s="30">
        <f>SUMIF(Ventas!$B:$B,A85,Ventas!$D:$D)</f>
        <v>2</v>
      </c>
      <c r="F85" s="30">
        <f t="shared" si="4"/>
        <v>9</v>
      </c>
      <c r="G85" s="30" t="str">
        <f t="shared" si="5"/>
        <v>Stock Bajo</v>
      </c>
    </row>
    <row r="86" spans="1:7" ht="18" customHeight="1" x14ac:dyDescent="0.25">
      <c r="A86" s="16" t="s">
        <v>230</v>
      </c>
      <c r="B86" s="17" t="s">
        <v>231</v>
      </c>
      <c r="C86" s="18" t="s">
        <v>227</v>
      </c>
      <c r="D86" s="27">
        <f>SUMIF(Compras!$B:$B,A86,Compras!$D:$D)</f>
        <v>17</v>
      </c>
      <c r="E86" s="27">
        <f>SUMIF(Ventas!$B:$B,A86,Ventas!$D:$D)</f>
        <v>2</v>
      </c>
      <c r="F86" s="27">
        <f t="shared" si="4"/>
        <v>15</v>
      </c>
      <c r="G86" s="27" t="str">
        <f t="shared" si="5"/>
        <v>OK</v>
      </c>
    </row>
    <row r="87" spans="1:7" ht="18" customHeight="1" x14ac:dyDescent="0.25">
      <c r="A87" s="20" t="s">
        <v>232</v>
      </c>
      <c r="B87" s="21" t="s">
        <v>233</v>
      </c>
      <c r="C87" s="22" t="s">
        <v>227</v>
      </c>
      <c r="D87" s="30">
        <f>SUMIF(Compras!$B:$B,A87,Compras!$D:$D)</f>
        <v>13</v>
      </c>
      <c r="E87" s="30">
        <f>SUMIF(Ventas!$B:$B,A87,Ventas!$D:$D)</f>
        <v>2</v>
      </c>
      <c r="F87" s="30">
        <f t="shared" si="4"/>
        <v>11</v>
      </c>
      <c r="G87" s="30" t="str">
        <f t="shared" si="5"/>
        <v>OK</v>
      </c>
    </row>
    <row r="88" spans="1:7" ht="18" customHeight="1" x14ac:dyDescent="0.25">
      <c r="A88" s="16" t="s">
        <v>234</v>
      </c>
      <c r="B88" s="17" t="s">
        <v>235</v>
      </c>
      <c r="C88" s="18" t="s">
        <v>227</v>
      </c>
      <c r="D88" s="27">
        <f>SUMIF(Compras!$B:$B,A88,Compras!$D:$D)</f>
        <v>10</v>
      </c>
      <c r="E88" s="27">
        <f>SUMIF(Ventas!$B:$B,A88,Ventas!$D:$D)</f>
        <v>2</v>
      </c>
      <c r="F88" s="27">
        <f t="shared" si="4"/>
        <v>8</v>
      </c>
      <c r="G88" s="27" t="str">
        <f t="shared" si="5"/>
        <v>Stock Bajo</v>
      </c>
    </row>
    <row r="89" spans="1:7" ht="18" customHeight="1" x14ac:dyDescent="0.25">
      <c r="A89" s="20" t="s">
        <v>236</v>
      </c>
      <c r="B89" s="21" t="s">
        <v>237</v>
      </c>
      <c r="C89" s="22" t="s">
        <v>238</v>
      </c>
      <c r="D89" s="30">
        <f>SUMIF(Compras!$B:$B,A89,Compras!$D:$D)</f>
        <v>21</v>
      </c>
      <c r="E89" s="30">
        <f>SUMIF(Ventas!$B:$B,A89,Ventas!$D:$D)</f>
        <v>3</v>
      </c>
      <c r="F89" s="30">
        <f t="shared" si="4"/>
        <v>18</v>
      </c>
      <c r="G89" s="30" t="str">
        <f t="shared" si="5"/>
        <v>OK</v>
      </c>
    </row>
    <row r="90" spans="1:7" ht="18" customHeight="1" x14ac:dyDescent="0.25">
      <c r="A90" s="16" t="s">
        <v>239</v>
      </c>
      <c r="B90" s="17" t="s">
        <v>240</v>
      </c>
      <c r="C90" s="18" t="s">
        <v>238</v>
      </c>
      <c r="D90" s="27">
        <f>SUMIF(Compras!$B:$B,A90,Compras!$D:$D)</f>
        <v>18</v>
      </c>
      <c r="E90" s="27">
        <f>SUMIF(Ventas!$B:$B,A90,Ventas!$D:$D)</f>
        <v>3</v>
      </c>
      <c r="F90" s="27">
        <f t="shared" si="4"/>
        <v>15</v>
      </c>
      <c r="G90" s="27" t="str">
        <f t="shared" si="5"/>
        <v>OK</v>
      </c>
    </row>
    <row r="91" spans="1:7" ht="18" customHeight="1" x14ac:dyDescent="0.25">
      <c r="A91" s="20" t="s">
        <v>241</v>
      </c>
      <c r="B91" s="21" t="s">
        <v>242</v>
      </c>
      <c r="C91" s="22" t="s">
        <v>238</v>
      </c>
      <c r="D91" s="30">
        <f>SUMIF(Compras!$B:$B,A91,Compras!$D:$D)</f>
        <v>16</v>
      </c>
      <c r="E91" s="30">
        <f>SUMIF(Ventas!$B:$B,A91,Ventas!$D:$D)</f>
        <v>2</v>
      </c>
      <c r="F91" s="30">
        <f t="shared" si="4"/>
        <v>14</v>
      </c>
      <c r="G91" s="30" t="str">
        <f t="shared" si="5"/>
        <v>OK</v>
      </c>
    </row>
    <row r="92" spans="1:7" ht="18" customHeight="1" x14ac:dyDescent="0.25">
      <c r="A92" s="16" t="s">
        <v>243</v>
      </c>
      <c r="B92" s="17" t="s">
        <v>244</v>
      </c>
      <c r="C92" s="18" t="s">
        <v>238</v>
      </c>
      <c r="D92" s="27">
        <f>SUMIF(Compras!$B:$B,A92,Compras!$D:$D)</f>
        <v>14</v>
      </c>
      <c r="E92" s="27">
        <f>SUMIF(Ventas!$B:$B,A92,Ventas!$D:$D)</f>
        <v>2</v>
      </c>
      <c r="F92" s="27">
        <f t="shared" si="4"/>
        <v>12</v>
      </c>
      <c r="G92" s="27" t="str">
        <f t="shared" si="5"/>
        <v>OK</v>
      </c>
    </row>
    <row r="93" spans="1:7" ht="18" customHeight="1" x14ac:dyDescent="0.25">
      <c r="A93" s="20" t="s">
        <v>245</v>
      </c>
      <c r="B93" s="21" t="s">
        <v>246</v>
      </c>
      <c r="C93" s="22" t="s">
        <v>238</v>
      </c>
      <c r="D93" s="30">
        <f>SUMIF(Compras!$B:$B,A93,Compras!$D:$D)</f>
        <v>12</v>
      </c>
      <c r="E93" s="30">
        <f>SUMIF(Ventas!$B:$B,A93,Ventas!$D:$D)</f>
        <v>2</v>
      </c>
      <c r="F93" s="30">
        <f t="shared" si="4"/>
        <v>10</v>
      </c>
      <c r="G93" s="30" t="str">
        <f t="shared" si="5"/>
        <v>OK</v>
      </c>
    </row>
    <row r="94" spans="1:7" ht="18" customHeight="1" x14ac:dyDescent="0.25">
      <c r="A94" s="16" t="s">
        <v>247</v>
      </c>
      <c r="B94" s="17" t="s">
        <v>248</v>
      </c>
      <c r="C94" s="18" t="s">
        <v>249</v>
      </c>
      <c r="D94" s="27">
        <f>SUMIF(Compras!$B:$B,A94,Compras!$D:$D)</f>
        <v>10</v>
      </c>
      <c r="E94" s="27">
        <f>SUMIF(Ventas!$B:$B,A94,Ventas!$D:$D)</f>
        <v>2</v>
      </c>
      <c r="F94" s="27">
        <f t="shared" si="4"/>
        <v>8</v>
      </c>
      <c r="G94" s="27" t="str">
        <f t="shared" si="5"/>
        <v>Stock Bajo</v>
      </c>
    </row>
    <row r="95" spans="1:7" ht="18" customHeight="1" x14ac:dyDescent="0.25">
      <c r="A95" s="20" t="s">
        <v>250</v>
      </c>
      <c r="B95" s="21" t="s">
        <v>251</v>
      </c>
      <c r="C95" s="22" t="s">
        <v>249</v>
      </c>
      <c r="D95" s="30">
        <f>SUMIF(Compras!$B:$B,A95,Compras!$D:$D)</f>
        <v>9</v>
      </c>
      <c r="E95" s="30">
        <f>SUMIF(Ventas!$B:$B,A95,Ventas!$D:$D)</f>
        <v>1</v>
      </c>
      <c r="F95" s="30">
        <f t="shared" si="4"/>
        <v>8</v>
      </c>
      <c r="G95" s="30" t="str">
        <f t="shared" si="5"/>
        <v>Stock Bajo</v>
      </c>
    </row>
    <row r="96" spans="1:7" ht="18" customHeight="1" x14ac:dyDescent="0.25">
      <c r="A96" s="16" t="s">
        <v>252</v>
      </c>
      <c r="B96" s="17" t="s">
        <v>253</v>
      </c>
      <c r="C96" s="18" t="s">
        <v>249</v>
      </c>
      <c r="D96" s="27">
        <f>SUMIF(Compras!$B:$B,A96,Compras!$D:$D)</f>
        <v>11</v>
      </c>
      <c r="E96" s="27">
        <f>SUMIF(Ventas!$B:$B,A96,Ventas!$D:$D)</f>
        <v>1</v>
      </c>
      <c r="F96" s="27">
        <f t="shared" si="4"/>
        <v>10</v>
      </c>
      <c r="G96" s="27" t="str">
        <f t="shared" si="5"/>
        <v>OK</v>
      </c>
    </row>
    <row r="97" spans="1:7" ht="18" customHeight="1" x14ac:dyDescent="0.25">
      <c r="A97" s="20" t="s">
        <v>254</v>
      </c>
      <c r="B97" s="21" t="s">
        <v>255</v>
      </c>
      <c r="C97" s="22" t="s">
        <v>249</v>
      </c>
      <c r="D97" s="30">
        <f>SUMIF(Compras!$B:$B,A97,Compras!$D:$D)</f>
        <v>7</v>
      </c>
      <c r="E97" s="30">
        <f>SUMIF(Ventas!$B:$B,A97,Ventas!$D:$D)</f>
        <v>1</v>
      </c>
      <c r="F97" s="30">
        <f t="shared" si="4"/>
        <v>6</v>
      </c>
      <c r="G97" s="30" t="str">
        <f t="shared" si="5"/>
        <v>Stock Bajo</v>
      </c>
    </row>
    <row r="98" spans="1:7" ht="18" customHeight="1" x14ac:dyDescent="0.25">
      <c r="A98" s="16" t="s">
        <v>256</v>
      </c>
      <c r="B98" s="17" t="s">
        <v>257</v>
      </c>
      <c r="C98" s="18" t="s">
        <v>249</v>
      </c>
      <c r="D98" s="27">
        <f>SUMIF(Compras!$B:$B,A98,Compras!$D:$D)</f>
        <v>8</v>
      </c>
      <c r="E98" s="27">
        <f>SUMIF(Ventas!$B:$B,A98,Ventas!$D:$D)</f>
        <v>1</v>
      </c>
      <c r="F98" s="27">
        <f t="shared" si="4"/>
        <v>7</v>
      </c>
      <c r="G98" s="27" t="str">
        <f t="shared" si="5"/>
        <v>Stock Bajo</v>
      </c>
    </row>
    <row r="99" spans="1:7" ht="18" customHeight="1" x14ac:dyDescent="0.25">
      <c r="A99" s="20" t="s">
        <v>258</v>
      </c>
      <c r="B99" s="21" t="s">
        <v>259</v>
      </c>
      <c r="C99" s="22" t="s">
        <v>49</v>
      </c>
      <c r="D99" s="30">
        <f>SUMIF(Compras!$B:$B,A99,Compras!$D:$D)</f>
        <v>6</v>
      </c>
      <c r="E99" s="30">
        <f>SUMIF(Ventas!$B:$B,A99,Ventas!$D:$D)</f>
        <v>1</v>
      </c>
      <c r="F99" s="30">
        <f t="shared" si="4"/>
        <v>5</v>
      </c>
      <c r="G99" s="30" t="str">
        <f t="shared" si="5"/>
        <v>Stock Bajo</v>
      </c>
    </row>
    <row r="100" spans="1:7" ht="18" customHeight="1" x14ac:dyDescent="0.25">
      <c r="A100" s="16" t="s">
        <v>260</v>
      </c>
      <c r="B100" s="17" t="s">
        <v>261</v>
      </c>
      <c r="C100" s="18" t="s">
        <v>49</v>
      </c>
      <c r="D100" s="27">
        <f>SUMIF(Compras!$B:$B,A100,Compras!$D:$D)</f>
        <v>5</v>
      </c>
      <c r="E100" s="27">
        <f>SUMIF(Ventas!$B:$B,A100,Ventas!$D:$D)</f>
        <v>1</v>
      </c>
      <c r="F100" s="27">
        <f t="shared" ref="F100:F103" si="6">D100-E100</f>
        <v>4</v>
      </c>
      <c r="G100" s="27" t="str">
        <f t="shared" ref="G100:G103" si="7">IF(F100&lt;=0,"Sin Stock",IF(F100&lt;5,"Crítico",IF(F100&lt;10,"Stock Bajo","OK")))</f>
        <v>Crítico</v>
      </c>
    </row>
    <row r="101" spans="1:7" ht="18" customHeight="1" x14ac:dyDescent="0.25">
      <c r="A101" s="20" t="s">
        <v>262</v>
      </c>
      <c r="B101" s="21" t="s">
        <v>263</v>
      </c>
      <c r="C101" s="22" t="s">
        <v>49</v>
      </c>
      <c r="D101" s="30">
        <f>SUMIF(Compras!$B:$B,A101,Compras!$D:$D)</f>
        <v>13</v>
      </c>
      <c r="E101" s="30">
        <f>SUMIF(Ventas!$B:$B,A101,Ventas!$D:$D)</f>
        <v>2</v>
      </c>
      <c r="F101" s="30">
        <f t="shared" si="6"/>
        <v>11</v>
      </c>
      <c r="G101" s="30" t="str">
        <f t="shared" si="7"/>
        <v>OK</v>
      </c>
    </row>
    <row r="102" spans="1:7" ht="18" customHeight="1" x14ac:dyDescent="0.25">
      <c r="A102" s="16" t="s">
        <v>264</v>
      </c>
      <c r="B102" s="17" t="s">
        <v>265</v>
      </c>
      <c r="C102" s="18" t="s">
        <v>49</v>
      </c>
      <c r="D102" s="27">
        <f>SUMIF(Compras!$B:$B,A102,Compras!$D:$D)</f>
        <v>12</v>
      </c>
      <c r="E102" s="27">
        <f>SUMIF(Ventas!$B:$B,A102,Ventas!$D:$D)</f>
        <v>2</v>
      </c>
      <c r="F102" s="27">
        <f t="shared" si="6"/>
        <v>10</v>
      </c>
      <c r="G102" s="27" t="str">
        <f t="shared" si="7"/>
        <v>OK</v>
      </c>
    </row>
    <row r="103" spans="1:7" ht="18" customHeight="1" x14ac:dyDescent="0.25">
      <c r="A103" s="20" t="s">
        <v>266</v>
      </c>
      <c r="B103" s="21" t="s">
        <v>267</v>
      </c>
      <c r="C103" s="22" t="s">
        <v>49</v>
      </c>
      <c r="D103" s="30">
        <f>SUMIF(Compras!$B:$B,A103,Compras!$D:$D)</f>
        <v>9</v>
      </c>
      <c r="E103" s="30">
        <f>SUMIF(Ventas!$B:$B,A103,Ventas!$D:$D)</f>
        <v>1</v>
      </c>
      <c r="F103" s="30">
        <f t="shared" si="6"/>
        <v>8</v>
      </c>
      <c r="G103" s="30" t="str">
        <f t="shared" si="7"/>
        <v>Stock Bajo</v>
      </c>
    </row>
  </sheetData>
  <mergeCells count="2">
    <mergeCell ref="A1:G1"/>
    <mergeCell ref="A2:G2"/>
  </mergeCells>
  <conditionalFormatting sqref="G4:G103">
    <cfRule type="cellIs" dxfId="3" priority="2" operator="equal">
      <formula>"Sin Stock"</formula>
    </cfRule>
    <cfRule type="cellIs" dxfId="2" priority="3" operator="equal">
      <formula>"Crítico"</formula>
    </cfRule>
    <cfRule type="cellIs" dxfId="1" priority="4" operator="equal">
      <formula>"Stock Bajo"</formula>
    </cfRule>
    <cfRule type="cellIs" dxfId="0" priority="5" operator="equal">
      <formula>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E44AD"/>
  </sheetPr>
  <dimension ref="A1:J104"/>
  <sheetViews>
    <sheetView showGridLines="0" zoomScaleNormal="100" workbookViewId="0">
      <pane ySplit="3" topLeftCell="A49" activePane="bottomLeft" state="frozen"/>
      <selection pane="bottomLeft" activeCell="A2" sqref="A2:J2"/>
    </sheetView>
  </sheetViews>
  <sheetFormatPr baseColWidth="10" defaultColWidth="8.7109375" defaultRowHeight="15" x14ac:dyDescent="0.25"/>
  <cols>
    <col min="1" max="1" width="14" customWidth="1"/>
    <col min="2" max="2" width="28" customWidth="1"/>
    <col min="3" max="3" width="18" customWidth="1"/>
    <col min="4" max="5" width="16" customWidth="1"/>
    <col min="6" max="6" width="14" customWidth="1"/>
    <col min="7" max="9" width="16" customWidth="1"/>
    <col min="10" max="10" width="12" customWidth="1"/>
  </cols>
  <sheetData>
    <row r="1" spans="1:10" ht="39.75" customHeight="1" x14ac:dyDescent="0.25">
      <c r="A1" s="72" t="s">
        <v>282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19.5" customHeight="1" x14ac:dyDescent="0.25">
      <c r="A2" s="116" t="s">
        <v>285</v>
      </c>
      <c r="B2" s="116"/>
      <c r="C2" s="116"/>
      <c r="D2" s="116"/>
      <c r="E2" s="116"/>
      <c r="F2" s="116"/>
      <c r="G2" s="116"/>
      <c r="H2" s="116"/>
      <c r="I2" s="116"/>
      <c r="J2" s="116"/>
    </row>
    <row r="3" spans="1:10" ht="30" customHeight="1" x14ac:dyDescent="0.25">
      <c r="A3" s="33" t="s">
        <v>57</v>
      </c>
      <c r="B3" s="33" t="s">
        <v>10</v>
      </c>
      <c r="C3" s="33" t="s">
        <v>13</v>
      </c>
      <c r="D3" s="33" t="s">
        <v>59</v>
      </c>
      <c r="E3" s="33" t="s">
        <v>275</v>
      </c>
      <c r="F3" s="33" t="s">
        <v>11</v>
      </c>
      <c r="G3" s="33" t="s">
        <v>12</v>
      </c>
      <c r="H3" s="33" t="s">
        <v>283</v>
      </c>
      <c r="I3" s="33" t="s">
        <v>15</v>
      </c>
      <c r="J3" s="33" t="s">
        <v>61</v>
      </c>
    </row>
    <row r="4" spans="1:10" ht="18" customHeight="1" x14ac:dyDescent="0.25">
      <c r="A4" s="16" t="s">
        <v>62</v>
      </c>
      <c r="B4" s="17" t="str">
        <f>IFERROR(VLOOKUP(A4,Productos!$A:$B,2,0),"")</f>
        <v>Laptop X1</v>
      </c>
      <c r="C4" s="18" t="str">
        <f>IFERROR(VLOOKUP(A4,Productos!$A:$C,3,0),"")</f>
        <v>Computadoras</v>
      </c>
      <c r="D4" s="109">
        <f>IFERROR(VLOOKUP(A4,Productos!$A:$D,4,0),"")</f>
        <v>620</v>
      </c>
      <c r="E4" s="109">
        <f>IFERROR(VLOOKUP(A4,Productos!$A:$E,5,0),"")</f>
        <v>920</v>
      </c>
      <c r="F4" s="27">
        <f>SUMIF(Ventas!$B:$B,A4,Ventas!$D:$D)</f>
        <v>3</v>
      </c>
      <c r="G4" s="109">
        <f t="shared" ref="G4:G35" si="0">IFERROR(F4*E4,0)</f>
        <v>2760</v>
      </c>
      <c r="H4" s="109">
        <f t="shared" ref="H4:H35" si="1">IFERROR(F4*D4,0)</f>
        <v>1860</v>
      </c>
      <c r="I4" s="109">
        <f t="shared" ref="I4:I35" si="2">IFERROR(G4-H4,0)</f>
        <v>900</v>
      </c>
      <c r="J4" s="34">
        <f t="shared" ref="J4:J35" si="3">IFERROR((G4-H4)/G4,0)</f>
        <v>0.32608695652173914</v>
      </c>
    </row>
    <row r="5" spans="1:10" ht="18" customHeight="1" x14ac:dyDescent="0.25">
      <c r="A5" s="20" t="s">
        <v>64</v>
      </c>
      <c r="B5" s="21" t="str">
        <f>IFERROR(VLOOKUP(A5,Productos!$A:$B,2,0),"")</f>
        <v>Laptop AirLite</v>
      </c>
      <c r="C5" s="22" t="str">
        <f>IFERROR(VLOOKUP(A5,Productos!$A:$C,3,0),"")</f>
        <v>Computadoras</v>
      </c>
      <c r="D5" s="110">
        <f>IFERROR(VLOOKUP(A5,Productos!$A:$D,4,0),"")</f>
        <v>540</v>
      </c>
      <c r="E5" s="110">
        <f>IFERROR(VLOOKUP(A5,Productos!$A:$E,5,0),"")</f>
        <v>820</v>
      </c>
      <c r="F5" s="30">
        <f>SUMIF(Ventas!$B:$B,A5,Ventas!$D:$D)</f>
        <v>2</v>
      </c>
      <c r="G5" s="110">
        <f t="shared" si="0"/>
        <v>1640</v>
      </c>
      <c r="H5" s="110">
        <f t="shared" si="1"/>
        <v>1080</v>
      </c>
      <c r="I5" s="110">
        <f t="shared" si="2"/>
        <v>560</v>
      </c>
      <c r="J5" s="35">
        <f t="shared" si="3"/>
        <v>0.34146341463414637</v>
      </c>
    </row>
    <row r="6" spans="1:10" ht="18" customHeight="1" x14ac:dyDescent="0.25">
      <c r="A6" s="16" t="s">
        <v>66</v>
      </c>
      <c r="B6" s="17" t="str">
        <f>IFERROR(VLOOKUP(A6,Productos!$A:$B,2,0),"")</f>
        <v>Laptop ProMax</v>
      </c>
      <c r="C6" s="18" t="str">
        <f>IFERROR(VLOOKUP(A6,Productos!$A:$C,3,0),"")</f>
        <v>Computadoras</v>
      </c>
      <c r="D6" s="109">
        <f>IFERROR(VLOOKUP(A6,Productos!$A:$D,4,0),"")</f>
        <v>780</v>
      </c>
      <c r="E6" s="109">
        <f>IFERROR(VLOOKUP(A6,Productos!$A:$E,5,0),"")</f>
        <v>1150</v>
      </c>
      <c r="F6" s="27">
        <f>SUMIF(Ventas!$B:$B,A6,Ventas!$D:$D)</f>
        <v>1</v>
      </c>
      <c r="G6" s="109">
        <f t="shared" si="0"/>
        <v>1150</v>
      </c>
      <c r="H6" s="109">
        <f t="shared" si="1"/>
        <v>780</v>
      </c>
      <c r="I6" s="109">
        <f t="shared" si="2"/>
        <v>370</v>
      </c>
      <c r="J6" s="34">
        <f t="shared" si="3"/>
        <v>0.32173913043478258</v>
      </c>
    </row>
    <row r="7" spans="1:10" ht="18" customHeight="1" x14ac:dyDescent="0.25">
      <c r="A7" s="20" t="s">
        <v>68</v>
      </c>
      <c r="B7" s="21" t="str">
        <f>IFERROR(VLOOKUP(A7,Productos!$A:$B,2,0),"")</f>
        <v>Mini Laptop Go</v>
      </c>
      <c r="C7" s="22" t="str">
        <f>IFERROR(VLOOKUP(A7,Productos!$A:$C,3,0),"")</f>
        <v>Computadoras</v>
      </c>
      <c r="D7" s="110">
        <f>IFERROR(VLOOKUP(A7,Productos!$A:$D,4,0),"")</f>
        <v>410</v>
      </c>
      <c r="E7" s="110">
        <f>IFERROR(VLOOKUP(A7,Productos!$A:$E,5,0),"")</f>
        <v>640</v>
      </c>
      <c r="F7" s="30">
        <f>SUMIF(Ventas!$B:$B,A7,Ventas!$D:$D)</f>
        <v>4</v>
      </c>
      <c r="G7" s="110">
        <f t="shared" si="0"/>
        <v>2560</v>
      </c>
      <c r="H7" s="110">
        <f t="shared" si="1"/>
        <v>1640</v>
      </c>
      <c r="I7" s="110">
        <f t="shared" si="2"/>
        <v>920</v>
      </c>
      <c r="J7" s="35">
        <f t="shared" si="3"/>
        <v>0.359375</v>
      </c>
    </row>
    <row r="8" spans="1:10" ht="18" customHeight="1" x14ac:dyDescent="0.25">
      <c r="A8" s="16" t="s">
        <v>70</v>
      </c>
      <c r="B8" s="17" t="str">
        <f>IFERROR(VLOOKUP(A8,Productos!$A:$B,2,0),"")</f>
        <v>Laptop Studio</v>
      </c>
      <c r="C8" s="18" t="str">
        <f>IFERROR(VLOOKUP(A8,Productos!$A:$C,3,0),"")</f>
        <v>Computadoras</v>
      </c>
      <c r="D8" s="109">
        <f>IFERROR(VLOOKUP(A8,Productos!$A:$D,4,0),"")</f>
        <v>890</v>
      </c>
      <c r="E8" s="109">
        <f>IFERROR(VLOOKUP(A8,Productos!$A:$E,5,0),"")</f>
        <v>1290</v>
      </c>
      <c r="F8" s="27">
        <f>SUMIF(Ventas!$B:$B,A8,Ventas!$D:$D)</f>
        <v>2</v>
      </c>
      <c r="G8" s="109">
        <f t="shared" si="0"/>
        <v>2580</v>
      </c>
      <c r="H8" s="109">
        <f t="shared" si="1"/>
        <v>1780</v>
      </c>
      <c r="I8" s="109">
        <f t="shared" si="2"/>
        <v>800</v>
      </c>
      <c r="J8" s="34">
        <f t="shared" si="3"/>
        <v>0.31007751937984496</v>
      </c>
    </row>
    <row r="9" spans="1:10" ht="18" customHeight="1" x14ac:dyDescent="0.25">
      <c r="A9" s="20" t="s">
        <v>72</v>
      </c>
      <c r="B9" s="21" t="str">
        <f>IFERROR(VLOOKUP(A9,Productos!$A:$B,2,0),"")</f>
        <v>Mouse Gamer RGB</v>
      </c>
      <c r="C9" s="22" t="str">
        <f>IFERROR(VLOOKUP(A9,Productos!$A:$C,3,0),"")</f>
        <v>Accesorios</v>
      </c>
      <c r="D9" s="110">
        <f>IFERROR(VLOOKUP(A9,Productos!$A:$D,4,0),"")</f>
        <v>18</v>
      </c>
      <c r="E9" s="110">
        <f>IFERROR(VLOOKUP(A9,Productos!$A:$E,5,0),"")</f>
        <v>42</v>
      </c>
      <c r="F9" s="30">
        <f>SUMIF(Ventas!$B:$B,A9,Ventas!$D:$D)</f>
        <v>6</v>
      </c>
      <c r="G9" s="110">
        <f t="shared" si="0"/>
        <v>252</v>
      </c>
      <c r="H9" s="110">
        <f t="shared" si="1"/>
        <v>108</v>
      </c>
      <c r="I9" s="110">
        <f t="shared" si="2"/>
        <v>144</v>
      </c>
      <c r="J9" s="35">
        <f t="shared" si="3"/>
        <v>0.5714285714285714</v>
      </c>
    </row>
    <row r="10" spans="1:10" ht="18" customHeight="1" x14ac:dyDescent="0.25">
      <c r="A10" s="16" t="s">
        <v>74</v>
      </c>
      <c r="B10" s="17" t="str">
        <f>IFERROR(VLOOKUP(A10,Productos!$A:$B,2,0),"")</f>
        <v>Mouse Wireless Pro</v>
      </c>
      <c r="C10" s="18" t="str">
        <f>IFERROR(VLOOKUP(A10,Productos!$A:$C,3,0),"")</f>
        <v>Accesorios</v>
      </c>
      <c r="D10" s="109">
        <f>IFERROR(VLOOKUP(A10,Productos!$A:$D,4,0),"")</f>
        <v>22</v>
      </c>
      <c r="E10" s="109">
        <f>IFERROR(VLOOKUP(A10,Productos!$A:$E,5,0),"")</f>
        <v>48</v>
      </c>
      <c r="F10" s="27">
        <f>SUMIF(Ventas!$B:$B,A10,Ventas!$D:$D)</f>
        <v>5</v>
      </c>
      <c r="G10" s="109">
        <f t="shared" si="0"/>
        <v>240</v>
      </c>
      <c r="H10" s="109">
        <f t="shared" si="1"/>
        <v>110</v>
      </c>
      <c r="I10" s="109">
        <f t="shared" si="2"/>
        <v>130</v>
      </c>
      <c r="J10" s="34">
        <f t="shared" si="3"/>
        <v>0.54166666666666663</v>
      </c>
    </row>
    <row r="11" spans="1:10" ht="18" customHeight="1" x14ac:dyDescent="0.25">
      <c r="A11" s="20" t="s">
        <v>76</v>
      </c>
      <c r="B11" s="21" t="str">
        <f>IFERROR(VLOOKUP(A11,Productos!$A:$B,2,0),"")</f>
        <v>Mouse Office Silent</v>
      </c>
      <c r="C11" s="22" t="str">
        <f>IFERROR(VLOOKUP(A11,Productos!$A:$C,3,0),"")</f>
        <v>Accesorios</v>
      </c>
      <c r="D11" s="110">
        <f>IFERROR(VLOOKUP(A11,Productos!$A:$D,4,0),"")</f>
        <v>12</v>
      </c>
      <c r="E11" s="110">
        <f>IFERROR(VLOOKUP(A11,Productos!$A:$E,5,0),"")</f>
        <v>30</v>
      </c>
      <c r="F11" s="30">
        <f>SUMIF(Ventas!$B:$B,A11,Ventas!$D:$D)</f>
        <v>7</v>
      </c>
      <c r="G11" s="110">
        <f t="shared" si="0"/>
        <v>210</v>
      </c>
      <c r="H11" s="110">
        <f t="shared" si="1"/>
        <v>84</v>
      </c>
      <c r="I11" s="110">
        <f t="shared" si="2"/>
        <v>126</v>
      </c>
      <c r="J11" s="35">
        <f t="shared" si="3"/>
        <v>0.6</v>
      </c>
    </row>
    <row r="12" spans="1:10" ht="18" customHeight="1" x14ac:dyDescent="0.25">
      <c r="A12" s="16" t="s">
        <v>78</v>
      </c>
      <c r="B12" s="17" t="str">
        <f>IFERROR(VLOOKUP(A12,Productos!$A:$B,2,0),"")</f>
        <v>Mouse UltraLight</v>
      </c>
      <c r="C12" s="18" t="str">
        <f>IFERROR(VLOOKUP(A12,Productos!$A:$C,3,0),"")</f>
        <v>Accesorios</v>
      </c>
      <c r="D12" s="109">
        <f>IFERROR(VLOOKUP(A12,Productos!$A:$D,4,0),"")</f>
        <v>25</v>
      </c>
      <c r="E12" s="109">
        <f>IFERROR(VLOOKUP(A12,Productos!$A:$E,5,0),"")</f>
        <v>55</v>
      </c>
      <c r="F12" s="27">
        <f>SUMIF(Ventas!$B:$B,A12,Ventas!$D:$D)</f>
        <v>3</v>
      </c>
      <c r="G12" s="109">
        <f t="shared" si="0"/>
        <v>165</v>
      </c>
      <c r="H12" s="109">
        <f t="shared" si="1"/>
        <v>75</v>
      </c>
      <c r="I12" s="109">
        <f t="shared" si="2"/>
        <v>90</v>
      </c>
      <c r="J12" s="34">
        <f t="shared" si="3"/>
        <v>0.54545454545454541</v>
      </c>
    </row>
    <row r="13" spans="1:10" ht="18" customHeight="1" x14ac:dyDescent="0.25">
      <c r="A13" s="20" t="s">
        <v>80</v>
      </c>
      <c r="B13" s="21" t="str">
        <f>IFERROR(VLOOKUP(A13,Productos!$A:$B,2,0),"")</f>
        <v>Mouse Precision</v>
      </c>
      <c r="C13" s="22" t="str">
        <f>IFERROR(VLOOKUP(A13,Productos!$A:$C,3,0),"")</f>
        <v>Accesorios</v>
      </c>
      <c r="D13" s="110">
        <f>IFERROR(VLOOKUP(A13,Productos!$A:$D,4,0),"")</f>
        <v>19</v>
      </c>
      <c r="E13" s="110">
        <f>IFERROR(VLOOKUP(A13,Productos!$A:$E,5,0),"")</f>
        <v>40</v>
      </c>
      <c r="F13" s="30">
        <f>SUMIF(Ventas!$B:$B,A13,Ventas!$D:$D)</f>
        <v>4</v>
      </c>
      <c r="G13" s="110">
        <f t="shared" si="0"/>
        <v>160</v>
      </c>
      <c r="H13" s="110">
        <f t="shared" si="1"/>
        <v>76</v>
      </c>
      <c r="I13" s="110">
        <f t="shared" si="2"/>
        <v>84</v>
      </c>
      <c r="J13" s="35">
        <f t="shared" si="3"/>
        <v>0.52500000000000002</v>
      </c>
    </row>
    <row r="14" spans="1:10" ht="18" customHeight="1" x14ac:dyDescent="0.25">
      <c r="A14" s="16" t="s">
        <v>82</v>
      </c>
      <c r="B14" s="17" t="str">
        <f>IFERROR(VLOOKUP(A14,Productos!$A:$B,2,0),"")</f>
        <v>Teclado Mecánico Red</v>
      </c>
      <c r="C14" s="18" t="str">
        <f>IFERROR(VLOOKUP(A14,Productos!$A:$C,3,0),"")</f>
        <v>Accesorios</v>
      </c>
      <c r="D14" s="109">
        <f>IFERROR(VLOOKUP(A14,Productos!$A:$D,4,0),"")</f>
        <v>45</v>
      </c>
      <c r="E14" s="109">
        <f>IFERROR(VLOOKUP(A14,Productos!$A:$E,5,0),"")</f>
        <v>95</v>
      </c>
      <c r="F14" s="27">
        <f>SUMIF(Ventas!$B:$B,A14,Ventas!$D:$D)</f>
        <v>2</v>
      </c>
      <c r="G14" s="109">
        <f t="shared" si="0"/>
        <v>190</v>
      </c>
      <c r="H14" s="109">
        <f t="shared" si="1"/>
        <v>90</v>
      </c>
      <c r="I14" s="109">
        <f t="shared" si="2"/>
        <v>100</v>
      </c>
      <c r="J14" s="34">
        <f t="shared" si="3"/>
        <v>0.52631578947368418</v>
      </c>
    </row>
    <row r="15" spans="1:10" ht="18" customHeight="1" x14ac:dyDescent="0.25">
      <c r="A15" s="20" t="s">
        <v>84</v>
      </c>
      <c r="B15" s="21" t="str">
        <f>IFERROR(VLOOKUP(A15,Productos!$A:$B,2,0),"")</f>
        <v>Teclado Mecánico Blue</v>
      </c>
      <c r="C15" s="22" t="str">
        <f>IFERROR(VLOOKUP(A15,Productos!$A:$C,3,0),"")</f>
        <v>Accesorios</v>
      </c>
      <c r="D15" s="110">
        <f>IFERROR(VLOOKUP(A15,Productos!$A:$D,4,0),"")</f>
        <v>48</v>
      </c>
      <c r="E15" s="110">
        <f>IFERROR(VLOOKUP(A15,Productos!$A:$E,5,0),"")</f>
        <v>99</v>
      </c>
      <c r="F15" s="30">
        <f>SUMIF(Ventas!$B:$B,A15,Ventas!$D:$D)</f>
        <v>2</v>
      </c>
      <c r="G15" s="110">
        <f t="shared" si="0"/>
        <v>198</v>
      </c>
      <c r="H15" s="110">
        <f t="shared" si="1"/>
        <v>96</v>
      </c>
      <c r="I15" s="110">
        <f t="shared" si="2"/>
        <v>102</v>
      </c>
      <c r="J15" s="35">
        <f t="shared" si="3"/>
        <v>0.51515151515151514</v>
      </c>
    </row>
    <row r="16" spans="1:10" ht="18" customHeight="1" x14ac:dyDescent="0.25">
      <c r="A16" s="16" t="s">
        <v>86</v>
      </c>
      <c r="B16" s="17" t="str">
        <f>IFERROR(VLOOKUP(A16,Productos!$A:$B,2,0),"")</f>
        <v>Teclado Compacto</v>
      </c>
      <c r="C16" s="18" t="str">
        <f>IFERROR(VLOOKUP(A16,Productos!$A:$C,3,0),"")</f>
        <v>Accesorios</v>
      </c>
      <c r="D16" s="109">
        <f>IFERROR(VLOOKUP(A16,Productos!$A:$D,4,0),"")</f>
        <v>28</v>
      </c>
      <c r="E16" s="109">
        <f>IFERROR(VLOOKUP(A16,Productos!$A:$E,5,0),"")</f>
        <v>65</v>
      </c>
      <c r="F16" s="27">
        <f>SUMIF(Ventas!$B:$B,A16,Ventas!$D:$D)</f>
        <v>3</v>
      </c>
      <c r="G16" s="109">
        <f t="shared" si="0"/>
        <v>195</v>
      </c>
      <c r="H16" s="109">
        <f t="shared" si="1"/>
        <v>84</v>
      </c>
      <c r="I16" s="109">
        <f t="shared" si="2"/>
        <v>111</v>
      </c>
      <c r="J16" s="34">
        <f t="shared" si="3"/>
        <v>0.56923076923076921</v>
      </c>
    </row>
    <row r="17" spans="1:10" ht="18" customHeight="1" x14ac:dyDescent="0.25">
      <c r="A17" s="20" t="s">
        <v>88</v>
      </c>
      <c r="B17" s="21" t="str">
        <f>IFERROR(VLOOKUP(A17,Productos!$A:$B,2,0),"")</f>
        <v>Teclado Wireless Slim</v>
      </c>
      <c r="C17" s="22" t="str">
        <f>IFERROR(VLOOKUP(A17,Productos!$A:$C,3,0),"")</f>
        <v>Accesorios</v>
      </c>
      <c r="D17" s="110">
        <f>IFERROR(VLOOKUP(A17,Productos!$A:$D,4,0),"")</f>
        <v>32</v>
      </c>
      <c r="E17" s="110">
        <f>IFERROR(VLOOKUP(A17,Productos!$A:$E,5,0),"")</f>
        <v>70</v>
      </c>
      <c r="F17" s="30">
        <f>SUMIF(Ventas!$B:$B,A17,Ventas!$D:$D)</f>
        <v>3</v>
      </c>
      <c r="G17" s="110">
        <f t="shared" si="0"/>
        <v>210</v>
      </c>
      <c r="H17" s="110">
        <f t="shared" si="1"/>
        <v>96</v>
      </c>
      <c r="I17" s="110">
        <f t="shared" si="2"/>
        <v>114</v>
      </c>
      <c r="J17" s="35">
        <f t="shared" si="3"/>
        <v>0.54285714285714282</v>
      </c>
    </row>
    <row r="18" spans="1:10" ht="18" customHeight="1" x14ac:dyDescent="0.25">
      <c r="A18" s="16" t="s">
        <v>90</v>
      </c>
      <c r="B18" s="17" t="str">
        <f>IFERROR(VLOOKUP(A18,Productos!$A:$B,2,0),"")</f>
        <v>Teclado Office Basic</v>
      </c>
      <c r="C18" s="18" t="str">
        <f>IFERROR(VLOOKUP(A18,Productos!$A:$C,3,0),"")</f>
        <v>Accesorios</v>
      </c>
      <c r="D18" s="109">
        <f>IFERROR(VLOOKUP(A18,Productos!$A:$D,4,0),"")</f>
        <v>18</v>
      </c>
      <c r="E18" s="109">
        <f>IFERROR(VLOOKUP(A18,Productos!$A:$E,5,0),"")</f>
        <v>42</v>
      </c>
      <c r="F18" s="27">
        <f>SUMIF(Ventas!$B:$B,A18,Ventas!$D:$D)</f>
        <v>4</v>
      </c>
      <c r="G18" s="109">
        <f t="shared" si="0"/>
        <v>168</v>
      </c>
      <c r="H18" s="109">
        <f t="shared" si="1"/>
        <v>72</v>
      </c>
      <c r="I18" s="109">
        <f t="shared" si="2"/>
        <v>96</v>
      </c>
      <c r="J18" s="34">
        <f t="shared" si="3"/>
        <v>0.5714285714285714</v>
      </c>
    </row>
    <row r="19" spans="1:10" ht="18" customHeight="1" x14ac:dyDescent="0.25">
      <c r="A19" s="20" t="s">
        <v>92</v>
      </c>
      <c r="B19" s="21" t="str">
        <f>IFERROR(VLOOKUP(A19,Productos!$A:$B,2,0),"")</f>
        <v>Monitor 24HD</v>
      </c>
      <c r="C19" s="22" t="str">
        <f>IFERROR(VLOOKUP(A19,Productos!$A:$C,3,0),"")</f>
        <v>Monitores</v>
      </c>
      <c r="D19" s="110">
        <f>IFERROR(VLOOKUP(A19,Productos!$A:$D,4,0),"")</f>
        <v>110</v>
      </c>
      <c r="E19" s="110">
        <f>IFERROR(VLOOKUP(A19,Productos!$A:$E,5,0),"")</f>
        <v>180</v>
      </c>
      <c r="F19" s="30">
        <f>SUMIF(Ventas!$B:$B,A19,Ventas!$D:$D)</f>
        <v>1</v>
      </c>
      <c r="G19" s="110">
        <f t="shared" si="0"/>
        <v>180</v>
      </c>
      <c r="H19" s="110">
        <f t="shared" si="1"/>
        <v>110</v>
      </c>
      <c r="I19" s="110">
        <f t="shared" si="2"/>
        <v>70</v>
      </c>
      <c r="J19" s="35">
        <f t="shared" si="3"/>
        <v>0.3888888888888889</v>
      </c>
    </row>
    <row r="20" spans="1:10" ht="18" customHeight="1" x14ac:dyDescent="0.25">
      <c r="A20" s="16" t="s">
        <v>94</v>
      </c>
      <c r="B20" s="17" t="str">
        <f>IFERROR(VLOOKUP(A20,Productos!$A:$B,2,0),"")</f>
        <v>Monitor 27HD</v>
      </c>
      <c r="C20" s="18" t="str">
        <f>IFERROR(VLOOKUP(A20,Productos!$A:$C,3,0),"")</f>
        <v>Monitores</v>
      </c>
      <c r="D20" s="109">
        <f>IFERROR(VLOOKUP(A20,Productos!$A:$D,4,0),"")</f>
        <v>145</v>
      </c>
      <c r="E20" s="109">
        <f>IFERROR(VLOOKUP(A20,Productos!$A:$E,5,0),"")</f>
        <v>230</v>
      </c>
      <c r="F20" s="27">
        <f>SUMIF(Ventas!$B:$B,A20,Ventas!$D:$D)</f>
        <v>1</v>
      </c>
      <c r="G20" s="109">
        <f t="shared" si="0"/>
        <v>230</v>
      </c>
      <c r="H20" s="109">
        <f t="shared" si="1"/>
        <v>145</v>
      </c>
      <c r="I20" s="109">
        <f t="shared" si="2"/>
        <v>85</v>
      </c>
      <c r="J20" s="34">
        <f t="shared" si="3"/>
        <v>0.36956521739130432</v>
      </c>
    </row>
    <row r="21" spans="1:10" ht="18" customHeight="1" x14ac:dyDescent="0.25">
      <c r="A21" s="20" t="s">
        <v>96</v>
      </c>
      <c r="B21" s="21" t="str">
        <f>IFERROR(VLOOKUP(A21,Productos!$A:$B,2,0),"")</f>
        <v>Monitor 24 Gaming</v>
      </c>
      <c r="C21" s="22" t="str">
        <f>IFERROR(VLOOKUP(A21,Productos!$A:$C,3,0),"")</f>
        <v>Monitores</v>
      </c>
      <c r="D21" s="110">
        <f>IFERROR(VLOOKUP(A21,Productos!$A:$D,4,0),"")</f>
        <v>160</v>
      </c>
      <c r="E21" s="110">
        <f>IFERROR(VLOOKUP(A21,Productos!$A:$E,5,0),"")</f>
        <v>270</v>
      </c>
      <c r="F21" s="30">
        <f>SUMIF(Ventas!$B:$B,A21,Ventas!$D:$D)</f>
        <v>2</v>
      </c>
      <c r="G21" s="110">
        <f t="shared" si="0"/>
        <v>540</v>
      </c>
      <c r="H21" s="110">
        <f t="shared" si="1"/>
        <v>320</v>
      </c>
      <c r="I21" s="110">
        <f t="shared" si="2"/>
        <v>220</v>
      </c>
      <c r="J21" s="35">
        <f t="shared" si="3"/>
        <v>0.40740740740740738</v>
      </c>
    </row>
    <row r="22" spans="1:10" ht="18" customHeight="1" x14ac:dyDescent="0.25">
      <c r="A22" s="16" t="s">
        <v>98</v>
      </c>
      <c r="B22" s="17" t="str">
        <f>IFERROR(VLOOKUP(A22,Productos!$A:$B,2,0),"")</f>
        <v>Monitor 32 Curvo</v>
      </c>
      <c r="C22" s="18" t="str">
        <f>IFERROR(VLOOKUP(A22,Productos!$A:$C,3,0),"")</f>
        <v>Monitores</v>
      </c>
      <c r="D22" s="109">
        <f>IFERROR(VLOOKUP(A22,Productos!$A:$D,4,0),"")</f>
        <v>220</v>
      </c>
      <c r="E22" s="109">
        <f>IFERROR(VLOOKUP(A22,Productos!$A:$E,5,0),"")</f>
        <v>360</v>
      </c>
      <c r="F22" s="27">
        <f>SUMIF(Ventas!$B:$B,A22,Ventas!$D:$D)</f>
        <v>1</v>
      </c>
      <c r="G22" s="109">
        <f t="shared" si="0"/>
        <v>360</v>
      </c>
      <c r="H22" s="109">
        <f t="shared" si="1"/>
        <v>220</v>
      </c>
      <c r="I22" s="109">
        <f t="shared" si="2"/>
        <v>140</v>
      </c>
      <c r="J22" s="34">
        <f t="shared" si="3"/>
        <v>0.3888888888888889</v>
      </c>
    </row>
    <row r="23" spans="1:10" ht="18" customHeight="1" x14ac:dyDescent="0.25">
      <c r="A23" s="20" t="s">
        <v>100</v>
      </c>
      <c r="B23" s="21" t="str">
        <f>IFERROR(VLOOKUP(A23,Productos!$A:$B,2,0),"")</f>
        <v>Monitor UltraWide</v>
      </c>
      <c r="C23" s="22" t="str">
        <f>IFERROR(VLOOKUP(A23,Productos!$A:$C,3,0),"")</f>
        <v>Monitores</v>
      </c>
      <c r="D23" s="110">
        <f>IFERROR(VLOOKUP(A23,Productos!$A:$D,4,0),"")</f>
        <v>260</v>
      </c>
      <c r="E23" s="110">
        <f>IFERROR(VLOOKUP(A23,Productos!$A:$E,5,0),"")</f>
        <v>420</v>
      </c>
      <c r="F23" s="30">
        <f>SUMIF(Ventas!$B:$B,A23,Ventas!$D:$D)</f>
        <v>1</v>
      </c>
      <c r="G23" s="110">
        <f t="shared" si="0"/>
        <v>420</v>
      </c>
      <c r="H23" s="110">
        <f t="shared" si="1"/>
        <v>260</v>
      </c>
      <c r="I23" s="110">
        <f t="shared" si="2"/>
        <v>160</v>
      </c>
      <c r="J23" s="35">
        <f t="shared" si="3"/>
        <v>0.38095238095238093</v>
      </c>
    </row>
    <row r="24" spans="1:10" ht="18" customHeight="1" x14ac:dyDescent="0.25">
      <c r="A24" s="16" t="s">
        <v>102</v>
      </c>
      <c r="B24" s="17" t="str">
        <f>IFERROR(VLOOKUP(A24,Productos!$A:$B,2,0),"")</f>
        <v>Webcam HD</v>
      </c>
      <c r="C24" s="18" t="str">
        <f>IFERROR(VLOOKUP(A24,Productos!$A:$C,3,0),"")</f>
        <v>Periféricos</v>
      </c>
      <c r="D24" s="109">
        <f>IFERROR(VLOOKUP(A24,Productos!$A:$D,4,0),"")</f>
        <v>25</v>
      </c>
      <c r="E24" s="109">
        <f>IFERROR(VLOOKUP(A24,Productos!$A:$E,5,0),"")</f>
        <v>55</v>
      </c>
      <c r="F24" s="27">
        <f>SUMIF(Ventas!$B:$B,A24,Ventas!$D:$D)</f>
        <v>5</v>
      </c>
      <c r="G24" s="109">
        <f t="shared" si="0"/>
        <v>275</v>
      </c>
      <c r="H24" s="109">
        <f t="shared" si="1"/>
        <v>125</v>
      </c>
      <c r="I24" s="109">
        <f t="shared" si="2"/>
        <v>150</v>
      </c>
      <c r="J24" s="34">
        <f t="shared" si="3"/>
        <v>0.54545454545454541</v>
      </c>
    </row>
    <row r="25" spans="1:10" ht="18" customHeight="1" x14ac:dyDescent="0.25">
      <c r="A25" s="20" t="s">
        <v>104</v>
      </c>
      <c r="B25" s="21" t="str">
        <f>IFERROR(VLOOKUP(A25,Productos!$A:$B,2,0),"")</f>
        <v>Webcam FullHD</v>
      </c>
      <c r="C25" s="22" t="str">
        <f>IFERROR(VLOOKUP(A25,Productos!$A:$C,3,0),"")</f>
        <v>Periféricos</v>
      </c>
      <c r="D25" s="110">
        <f>IFERROR(VLOOKUP(A25,Productos!$A:$D,4,0),"")</f>
        <v>32</v>
      </c>
      <c r="E25" s="110">
        <f>IFERROR(VLOOKUP(A25,Productos!$A:$E,5,0),"")</f>
        <v>68</v>
      </c>
      <c r="F25" s="30">
        <f>SUMIF(Ventas!$B:$B,A25,Ventas!$D:$D)</f>
        <v>4</v>
      </c>
      <c r="G25" s="110">
        <f t="shared" si="0"/>
        <v>272</v>
      </c>
      <c r="H25" s="110">
        <f t="shared" si="1"/>
        <v>128</v>
      </c>
      <c r="I25" s="110">
        <f t="shared" si="2"/>
        <v>144</v>
      </c>
      <c r="J25" s="35">
        <f t="shared" si="3"/>
        <v>0.52941176470588236</v>
      </c>
    </row>
    <row r="26" spans="1:10" ht="18" customHeight="1" x14ac:dyDescent="0.25">
      <c r="A26" s="16" t="s">
        <v>106</v>
      </c>
      <c r="B26" s="17" t="str">
        <f>IFERROR(VLOOKUP(A26,Productos!$A:$B,2,0),"")</f>
        <v>Webcam Pro Stream</v>
      </c>
      <c r="C26" s="18" t="str">
        <f>IFERROR(VLOOKUP(A26,Productos!$A:$C,3,0),"")</f>
        <v>Periféricos</v>
      </c>
      <c r="D26" s="109">
        <f>IFERROR(VLOOKUP(A26,Productos!$A:$D,4,0),"")</f>
        <v>55</v>
      </c>
      <c r="E26" s="109">
        <f>IFERROR(VLOOKUP(A26,Productos!$A:$E,5,0),"")</f>
        <v>110</v>
      </c>
      <c r="F26" s="27">
        <f>SUMIF(Ventas!$B:$B,A26,Ventas!$D:$D)</f>
        <v>2</v>
      </c>
      <c r="G26" s="109">
        <f t="shared" si="0"/>
        <v>220</v>
      </c>
      <c r="H26" s="109">
        <f t="shared" si="1"/>
        <v>110</v>
      </c>
      <c r="I26" s="109">
        <f t="shared" si="2"/>
        <v>110</v>
      </c>
      <c r="J26" s="34">
        <f t="shared" si="3"/>
        <v>0.5</v>
      </c>
    </row>
    <row r="27" spans="1:10" ht="18" customHeight="1" x14ac:dyDescent="0.25">
      <c r="A27" s="20" t="s">
        <v>108</v>
      </c>
      <c r="B27" s="21" t="str">
        <f>IFERROR(VLOOKUP(A27,Productos!$A:$B,2,0),"")</f>
        <v>Webcam Compact</v>
      </c>
      <c r="C27" s="22" t="str">
        <f>IFERROR(VLOOKUP(A27,Productos!$A:$C,3,0),"")</f>
        <v>Periféricos</v>
      </c>
      <c r="D27" s="110">
        <f>IFERROR(VLOOKUP(A27,Productos!$A:$D,4,0),"")</f>
        <v>21</v>
      </c>
      <c r="E27" s="110">
        <f>IFERROR(VLOOKUP(A27,Productos!$A:$E,5,0),"")</f>
        <v>48</v>
      </c>
      <c r="F27" s="30">
        <f>SUMIF(Ventas!$B:$B,A27,Ventas!$D:$D)</f>
        <v>3</v>
      </c>
      <c r="G27" s="110">
        <f t="shared" si="0"/>
        <v>144</v>
      </c>
      <c r="H27" s="110">
        <f t="shared" si="1"/>
        <v>63</v>
      </c>
      <c r="I27" s="110">
        <f t="shared" si="2"/>
        <v>81</v>
      </c>
      <c r="J27" s="35">
        <f t="shared" si="3"/>
        <v>0.5625</v>
      </c>
    </row>
    <row r="28" spans="1:10" ht="18" customHeight="1" x14ac:dyDescent="0.25">
      <c r="A28" s="16" t="s">
        <v>110</v>
      </c>
      <c r="B28" s="17" t="str">
        <f>IFERROR(VLOOKUP(A28,Productos!$A:$B,2,0),"")</f>
        <v>Webcam UltraWide</v>
      </c>
      <c r="C28" s="18" t="str">
        <f>IFERROR(VLOOKUP(A28,Productos!$A:$C,3,0),"")</f>
        <v>Periféricos</v>
      </c>
      <c r="D28" s="109">
        <f>IFERROR(VLOOKUP(A28,Productos!$A:$D,4,0),"")</f>
        <v>64</v>
      </c>
      <c r="E28" s="109">
        <f>IFERROR(VLOOKUP(A28,Productos!$A:$E,5,0),"")</f>
        <v>120</v>
      </c>
      <c r="F28" s="27">
        <f>SUMIF(Ventas!$B:$B,A28,Ventas!$D:$D)</f>
        <v>2</v>
      </c>
      <c r="G28" s="109">
        <f t="shared" si="0"/>
        <v>240</v>
      </c>
      <c r="H28" s="109">
        <f t="shared" si="1"/>
        <v>128</v>
      </c>
      <c r="I28" s="109">
        <f t="shared" si="2"/>
        <v>112</v>
      </c>
      <c r="J28" s="34">
        <f t="shared" si="3"/>
        <v>0.46666666666666667</v>
      </c>
    </row>
    <row r="29" spans="1:10" ht="18" customHeight="1" x14ac:dyDescent="0.25">
      <c r="A29" s="20" t="s">
        <v>112</v>
      </c>
      <c r="B29" s="21" t="str">
        <f>IFERROR(VLOOKUP(A29,Productos!$A:$B,2,0),"")</f>
        <v>SSD 256GB</v>
      </c>
      <c r="C29" s="22" t="str">
        <f>IFERROR(VLOOKUP(A29,Productos!$A:$C,3,0),"")</f>
        <v>Almacenamiento</v>
      </c>
      <c r="D29" s="110">
        <f>IFERROR(VLOOKUP(A29,Productos!$A:$D,4,0),"")</f>
        <v>32</v>
      </c>
      <c r="E29" s="110">
        <f>IFERROR(VLOOKUP(A29,Productos!$A:$E,5,0),"")</f>
        <v>70</v>
      </c>
      <c r="F29" s="30">
        <f>SUMIF(Ventas!$B:$B,A29,Ventas!$D:$D)</f>
        <v>5</v>
      </c>
      <c r="G29" s="110">
        <f t="shared" si="0"/>
        <v>350</v>
      </c>
      <c r="H29" s="110">
        <f t="shared" si="1"/>
        <v>160</v>
      </c>
      <c r="I29" s="110">
        <f t="shared" si="2"/>
        <v>190</v>
      </c>
      <c r="J29" s="35">
        <f t="shared" si="3"/>
        <v>0.54285714285714282</v>
      </c>
    </row>
    <row r="30" spans="1:10" ht="18" customHeight="1" x14ac:dyDescent="0.25">
      <c r="A30" s="16" t="s">
        <v>114</v>
      </c>
      <c r="B30" s="17" t="str">
        <f>IFERROR(VLOOKUP(A30,Productos!$A:$B,2,0),"")</f>
        <v>SSD 512GB</v>
      </c>
      <c r="C30" s="18" t="str">
        <f>IFERROR(VLOOKUP(A30,Productos!$A:$C,3,0),"")</f>
        <v>Almacenamiento</v>
      </c>
      <c r="D30" s="109">
        <f>IFERROR(VLOOKUP(A30,Productos!$A:$D,4,0),"")</f>
        <v>52</v>
      </c>
      <c r="E30" s="109">
        <f>IFERROR(VLOOKUP(A30,Productos!$A:$E,5,0),"")</f>
        <v>105</v>
      </c>
      <c r="F30" s="27">
        <f>SUMIF(Ventas!$B:$B,A30,Ventas!$D:$D)</f>
        <v>4</v>
      </c>
      <c r="G30" s="109">
        <f t="shared" si="0"/>
        <v>420</v>
      </c>
      <c r="H30" s="109">
        <f t="shared" si="1"/>
        <v>208</v>
      </c>
      <c r="I30" s="109">
        <f t="shared" si="2"/>
        <v>212</v>
      </c>
      <c r="J30" s="34">
        <f t="shared" si="3"/>
        <v>0.50476190476190474</v>
      </c>
    </row>
    <row r="31" spans="1:10" ht="18" customHeight="1" x14ac:dyDescent="0.25">
      <c r="A31" s="20" t="s">
        <v>116</v>
      </c>
      <c r="B31" s="21" t="str">
        <f>IFERROR(VLOOKUP(A31,Productos!$A:$B,2,0),"")</f>
        <v>SSD 1TB</v>
      </c>
      <c r="C31" s="22" t="str">
        <f>IFERROR(VLOOKUP(A31,Productos!$A:$C,3,0),"")</f>
        <v>Almacenamiento</v>
      </c>
      <c r="D31" s="110">
        <f>IFERROR(VLOOKUP(A31,Productos!$A:$D,4,0),"")</f>
        <v>88</v>
      </c>
      <c r="E31" s="110">
        <f>IFERROR(VLOOKUP(A31,Productos!$A:$E,5,0),"")</f>
        <v>160</v>
      </c>
      <c r="F31" s="30">
        <f>SUMIF(Ventas!$B:$B,A31,Ventas!$D:$D)</f>
        <v>3</v>
      </c>
      <c r="G31" s="110">
        <f t="shared" si="0"/>
        <v>480</v>
      </c>
      <c r="H31" s="110">
        <f t="shared" si="1"/>
        <v>264</v>
      </c>
      <c r="I31" s="110">
        <f t="shared" si="2"/>
        <v>216</v>
      </c>
      <c r="J31" s="35">
        <f t="shared" si="3"/>
        <v>0.45</v>
      </c>
    </row>
    <row r="32" spans="1:10" ht="18" customHeight="1" x14ac:dyDescent="0.25">
      <c r="A32" s="16" t="s">
        <v>118</v>
      </c>
      <c r="B32" s="17" t="str">
        <f>IFERROR(VLOOKUP(A32,Productos!$A:$B,2,0),"")</f>
        <v>SSD 2TB</v>
      </c>
      <c r="C32" s="18" t="str">
        <f>IFERROR(VLOOKUP(A32,Productos!$A:$C,3,0),"")</f>
        <v>Almacenamiento</v>
      </c>
      <c r="D32" s="109">
        <f>IFERROR(VLOOKUP(A32,Productos!$A:$D,4,0),"")</f>
        <v>160</v>
      </c>
      <c r="E32" s="109">
        <f>IFERROR(VLOOKUP(A32,Productos!$A:$E,5,0),"")</f>
        <v>280</v>
      </c>
      <c r="F32" s="27">
        <f>SUMIF(Ventas!$B:$B,A32,Ventas!$D:$D)</f>
        <v>2</v>
      </c>
      <c r="G32" s="109">
        <f t="shared" si="0"/>
        <v>560</v>
      </c>
      <c r="H32" s="109">
        <f t="shared" si="1"/>
        <v>320</v>
      </c>
      <c r="I32" s="109">
        <f t="shared" si="2"/>
        <v>240</v>
      </c>
      <c r="J32" s="34">
        <f t="shared" si="3"/>
        <v>0.42857142857142855</v>
      </c>
    </row>
    <row r="33" spans="1:10" ht="18" customHeight="1" x14ac:dyDescent="0.25">
      <c r="A33" s="20" t="s">
        <v>120</v>
      </c>
      <c r="B33" s="21" t="str">
        <f>IFERROR(VLOOKUP(A33,Productos!$A:$B,2,0),"")</f>
        <v>SSD Portable 1TB</v>
      </c>
      <c r="C33" s="22" t="str">
        <f>IFERROR(VLOOKUP(A33,Productos!$A:$C,3,0),"")</f>
        <v>Almacenamiento</v>
      </c>
      <c r="D33" s="110">
        <f>IFERROR(VLOOKUP(A33,Productos!$A:$D,4,0),"")</f>
        <v>95</v>
      </c>
      <c r="E33" s="110">
        <f>IFERROR(VLOOKUP(A33,Productos!$A:$E,5,0),"")</f>
        <v>175</v>
      </c>
      <c r="F33" s="30">
        <f>SUMIF(Ventas!$B:$B,A33,Ventas!$D:$D)</f>
        <v>2</v>
      </c>
      <c r="G33" s="110">
        <f t="shared" si="0"/>
        <v>350</v>
      </c>
      <c r="H33" s="110">
        <f t="shared" si="1"/>
        <v>190</v>
      </c>
      <c r="I33" s="110">
        <f t="shared" si="2"/>
        <v>160</v>
      </c>
      <c r="J33" s="35">
        <f t="shared" si="3"/>
        <v>0.45714285714285713</v>
      </c>
    </row>
    <row r="34" spans="1:10" ht="18" customHeight="1" x14ac:dyDescent="0.25">
      <c r="A34" s="16" t="s">
        <v>122</v>
      </c>
      <c r="B34" s="17" t="str">
        <f>IFERROR(VLOOKUP(A34,Productos!$A:$B,2,0),"")</f>
        <v>Disco HDD 1TB</v>
      </c>
      <c r="C34" s="18" t="str">
        <f>IFERROR(VLOOKUP(A34,Productos!$A:$C,3,0),"")</f>
        <v>Almacenamiento</v>
      </c>
      <c r="D34" s="109">
        <f>IFERROR(VLOOKUP(A34,Productos!$A:$D,4,0),"")</f>
        <v>35</v>
      </c>
      <c r="E34" s="109">
        <f>IFERROR(VLOOKUP(A34,Productos!$A:$E,5,0),"")</f>
        <v>75</v>
      </c>
      <c r="F34" s="27">
        <f>SUMIF(Ventas!$B:$B,A34,Ventas!$D:$D)</f>
        <v>3</v>
      </c>
      <c r="G34" s="109">
        <f t="shared" si="0"/>
        <v>225</v>
      </c>
      <c r="H34" s="109">
        <f t="shared" si="1"/>
        <v>105</v>
      </c>
      <c r="I34" s="109">
        <f t="shared" si="2"/>
        <v>120</v>
      </c>
      <c r="J34" s="34">
        <f t="shared" si="3"/>
        <v>0.53333333333333333</v>
      </c>
    </row>
    <row r="35" spans="1:10" ht="18" customHeight="1" x14ac:dyDescent="0.25">
      <c r="A35" s="20" t="s">
        <v>124</v>
      </c>
      <c r="B35" s="21" t="str">
        <f>IFERROR(VLOOKUP(A35,Productos!$A:$B,2,0),"")</f>
        <v>Disco HDD 2TB</v>
      </c>
      <c r="C35" s="22" t="str">
        <f>IFERROR(VLOOKUP(A35,Productos!$A:$C,3,0),"")</f>
        <v>Almacenamiento</v>
      </c>
      <c r="D35" s="110">
        <f>IFERROR(VLOOKUP(A35,Productos!$A:$D,4,0),"")</f>
        <v>50</v>
      </c>
      <c r="E35" s="110">
        <f>IFERROR(VLOOKUP(A35,Productos!$A:$E,5,0),"")</f>
        <v>95</v>
      </c>
      <c r="F35" s="30">
        <f>SUMIF(Ventas!$B:$B,A35,Ventas!$D:$D)</f>
        <v>3</v>
      </c>
      <c r="G35" s="110">
        <f t="shared" si="0"/>
        <v>285</v>
      </c>
      <c r="H35" s="110">
        <f t="shared" si="1"/>
        <v>150</v>
      </c>
      <c r="I35" s="110">
        <f t="shared" si="2"/>
        <v>135</v>
      </c>
      <c r="J35" s="35">
        <f t="shared" si="3"/>
        <v>0.47368421052631576</v>
      </c>
    </row>
    <row r="36" spans="1:10" ht="18" customHeight="1" x14ac:dyDescent="0.25">
      <c r="A36" s="16" t="s">
        <v>126</v>
      </c>
      <c r="B36" s="17" t="str">
        <f>IFERROR(VLOOKUP(A36,Productos!$A:$B,2,0),"")</f>
        <v>Disco HDD 4TB</v>
      </c>
      <c r="C36" s="18" t="str">
        <f>IFERROR(VLOOKUP(A36,Productos!$A:$C,3,0),"")</f>
        <v>Almacenamiento</v>
      </c>
      <c r="D36" s="109">
        <f>IFERROR(VLOOKUP(A36,Productos!$A:$D,4,0),"")</f>
        <v>85</v>
      </c>
      <c r="E36" s="109">
        <f>IFERROR(VLOOKUP(A36,Productos!$A:$E,5,0),"")</f>
        <v>150</v>
      </c>
      <c r="F36" s="27">
        <f>SUMIF(Ventas!$B:$B,A36,Ventas!$D:$D)</f>
        <v>2</v>
      </c>
      <c r="G36" s="109">
        <f t="shared" ref="G36:G67" si="4">IFERROR(F36*E36,0)</f>
        <v>300</v>
      </c>
      <c r="H36" s="109">
        <f t="shared" ref="H36:H67" si="5">IFERROR(F36*D36,0)</f>
        <v>170</v>
      </c>
      <c r="I36" s="109">
        <f t="shared" ref="I36:I67" si="6">IFERROR(G36-H36,0)</f>
        <v>130</v>
      </c>
      <c r="J36" s="34">
        <f t="shared" ref="J36:J67" si="7">IFERROR((G36-H36)/G36,0)</f>
        <v>0.43333333333333335</v>
      </c>
    </row>
    <row r="37" spans="1:10" ht="18" customHeight="1" x14ac:dyDescent="0.25">
      <c r="A37" s="20" t="s">
        <v>128</v>
      </c>
      <c r="B37" s="21" t="str">
        <f>IFERROR(VLOOKUP(A37,Productos!$A:$B,2,0),"")</f>
        <v>Disco Externo 2TB</v>
      </c>
      <c r="C37" s="22" t="str">
        <f>IFERROR(VLOOKUP(A37,Productos!$A:$C,3,0),"")</f>
        <v>Almacenamiento</v>
      </c>
      <c r="D37" s="110">
        <f>IFERROR(VLOOKUP(A37,Productos!$A:$D,4,0),"")</f>
        <v>70</v>
      </c>
      <c r="E37" s="110">
        <f>IFERROR(VLOOKUP(A37,Productos!$A:$E,5,0),"")</f>
        <v>135</v>
      </c>
      <c r="F37" s="30">
        <f>SUMIF(Ventas!$B:$B,A37,Ventas!$D:$D)</f>
        <v>2</v>
      </c>
      <c r="G37" s="110">
        <f t="shared" si="4"/>
        <v>270</v>
      </c>
      <c r="H37" s="110">
        <f t="shared" si="5"/>
        <v>140</v>
      </c>
      <c r="I37" s="110">
        <f t="shared" si="6"/>
        <v>130</v>
      </c>
      <c r="J37" s="35">
        <f t="shared" si="7"/>
        <v>0.48148148148148145</v>
      </c>
    </row>
    <row r="38" spans="1:10" ht="18" customHeight="1" x14ac:dyDescent="0.25">
      <c r="A38" s="16" t="s">
        <v>130</v>
      </c>
      <c r="B38" s="17" t="str">
        <f>IFERROR(VLOOKUP(A38,Productos!$A:$B,2,0),"")</f>
        <v>Disco Externo 5TB</v>
      </c>
      <c r="C38" s="18" t="str">
        <f>IFERROR(VLOOKUP(A38,Productos!$A:$C,3,0),"")</f>
        <v>Almacenamiento</v>
      </c>
      <c r="D38" s="109">
        <f>IFERROR(VLOOKUP(A38,Productos!$A:$D,4,0),"")</f>
        <v>120</v>
      </c>
      <c r="E38" s="109">
        <f>IFERROR(VLOOKUP(A38,Productos!$A:$E,5,0),"")</f>
        <v>220</v>
      </c>
      <c r="F38" s="27">
        <f>SUMIF(Ventas!$B:$B,A38,Ventas!$D:$D)</f>
        <v>1</v>
      </c>
      <c r="G38" s="109">
        <f t="shared" si="4"/>
        <v>220</v>
      </c>
      <c r="H38" s="109">
        <f t="shared" si="5"/>
        <v>120</v>
      </c>
      <c r="I38" s="109">
        <f t="shared" si="6"/>
        <v>100</v>
      </c>
      <c r="J38" s="34">
        <f t="shared" si="7"/>
        <v>0.45454545454545453</v>
      </c>
    </row>
    <row r="39" spans="1:10" ht="18" customHeight="1" x14ac:dyDescent="0.25">
      <c r="A39" s="20" t="s">
        <v>132</v>
      </c>
      <c r="B39" s="21" t="str">
        <f>IFERROR(VLOOKUP(A39,Productos!$A:$B,2,0),"")</f>
        <v>Auriculares BT Lite</v>
      </c>
      <c r="C39" s="22" t="str">
        <f>IFERROR(VLOOKUP(A39,Productos!$A:$C,3,0),"")</f>
        <v>Audio</v>
      </c>
      <c r="D39" s="110">
        <f>IFERROR(VLOOKUP(A39,Productos!$A:$D,4,0),"")</f>
        <v>22</v>
      </c>
      <c r="E39" s="110">
        <f>IFERROR(VLOOKUP(A39,Productos!$A:$E,5,0),"")</f>
        <v>55</v>
      </c>
      <c r="F39" s="30">
        <f>SUMIF(Ventas!$B:$B,A39,Ventas!$D:$D)</f>
        <v>4</v>
      </c>
      <c r="G39" s="110">
        <f t="shared" si="4"/>
        <v>220</v>
      </c>
      <c r="H39" s="110">
        <f t="shared" si="5"/>
        <v>88</v>
      </c>
      <c r="I39" s="110">
        <f t="shared" si="6"/>
        <v>132</v>
      </c>
      <c r="J39" s="35">
        <f t="shared" si="7"/>
        <v>0.6</v>
      </c>
    </row>
    <row r="40" spans="1:10" ht="18" customHeight="1" x14ac:dyDescent="0.25">
      <c r="A40" s="16" t="s">
        <v>134</v>
      </c>
      <c r="B40" s="17" t="str">
        <f>IFERROR(VLOOKUP(A40,Productos!$A:$B,2,0),"")</f>
        <v>Auriculares BT Pro</v>
      </c>
      <c r="C40" s="18" t="str">
        <f>IFERROR(VLOOKUP(A40,Productos!$A:$C,3,0),"")</f>
        <v>Audio</v>
      </c>
      <c r="D40" s="109">
        <f>IFERROR(VLOOKUP(A40,Productos!$A:$D,4,0),"")</f>
        <v>35</v>
      </c>
      <c r="E40" s="109">
        <f>IFERROR(VLOOKUP(A40,Productos!$A:$E,5,0),"")</f>
        <v>75</v>
      </c>
      <c r="F40" s="27">
        <f>SUMIF(Ventas!$B:$B,A40,Ventas!$D:$D)</f>
        <v>3</v>
      </c>
      <c r="G40" s="109">
        <f t="shared" si="4"/>
        <v>225</v>
      </c>
      <c r="H40" s="109">
        <f t="shared" si="5"/>
        <v>105</v>
      </c>
      <c r="I40" s="109">
        <f t="shared" si="6"/>
        <v>120</v>
      </c>
      <c r="J40" s="34">
        <f t="shared" si="7"/>
        <v>0.53333333333333333</v>
      </c>
    </row>
    <row r="41" spans="1:10" ht="18" customHeight="1" x14ac:dyDescent="0.25">
      <c r="A41" s="20" t="s">
        <v>136</v>
      </c>
      <c r="B41" s="21" t="str">
        <f>IFERROR(VLOOKUP(A41,Productos!$A:$B,2,0),"")</f>
        <v>Headset Gamer RGB</v>
      </c>
      <c r="C41" s="22" t="str">
        <f>IFERROR(VLOOKUP(A41,Productos!$A:$C,3,0),"")</f>
        <v>Audio</v>
      </c>
      <c r="D41" s="110">
        <f>IFERROR(VLOOKUP(A41,Productos!$A:$D,4,0),"")</f>
        <v>48</v>
      </c>
      <c r="E41" s="110">
        <f>IFERROR(VLOOKUP(A41,Productos!$A:$E,5,0),"")</f>
        <v>95</v>
      </c>
      <c r="F41" s="30">
        <f>SUMIF(Ventas!$B:$B,A41,Ventas!$D:$D)</f>
        <v>3</v>
      </c>
      <c r="G41" s="110">
        <f t="shared" si="4"/>
        <v>285</v>
      </c>
      <c r="H41" s="110">
        <f t="shared" si="5"/>
        <v>144</v>
      </c>
      <c r="I41" s="110">
        <f t="shared" si="6"/>
        <v>141</v>
      </c>
      <c r="J41" s="35">
        <f t="shared" si="7"/>
        <v>0.49473684210526314</v>
      </c>
    </row>
    <row r="42" spans="1:10" ht="18" customHeight="1" x14ac:dyDescent="0.25">
      <c r="A42" s="16" t="s">
        <v>138</v>
      </c>
      <c r="B42" s="17" t="str">
        <f>IFERROR(VLOOKUP(A42,Productos!$A:$B,2,0),"")</f>
        <v>Headset Studio</v>
      </c>
      <c r="C42" s="18" t="str">
        <f>IFERROR(VLOOKUP(A42,Productos!$A:$C,3,0),"")</f>
        <v>Audio</v>
      </c>
      <c r="D42" s="109">
        <f>IFERROR(VLOOKUP(A42,Productos!$A:$D,4,0),"")</f>
        <v>65</v>
      </c>
      <c r="E42" s="109">
        <f>IFERROR(VLOOKUP(A42,Productos!$A:$E,5,0),"")</f>
        <v>120</v>
      </c>
      <c r="F42" s="27">
        <f>SUMIF(Ventas!$B:$B,A42,Ventas!$D:$D)</f>
        <v>2</v>
      </c>
      <c r="G42" s="109">
        <f t="shared" si="4"/>
        <v>240</v>
      </c>
      <c r="H42" s="109">
        <f t="shared" si="5"/>
        <v>130</v>
      </c>
      <c r="I42" s="109">
        <f t="shared" si="6"/>
        <v>110</v>
      </c>
      <c r="J42" s="34">
        <f t="shared" si="7"/>
        <v>0.45833333333333331</v>
      </c>
    </row>
    <row r="43" spans="1:10" ht="18" customHeight="1" x14ac:dyDescent="0.25">
      <c r="A43" s="20" t="s">
        <v>140</v>
      </c>
      <c r="B43" s="21" t="str">
        <f>IFERROR(VLOOKUP(A43,Productos!$A:$B,2,0),"")</f>
        <v>Earbuds Wireless</v>
      </c>
      <c r="C43" s="22" t="str">
        <f>IFERROR(VLOOKUP(A43,Productos!$A:$C,3,0),"")</f>
        <v>Audio</v>
      </c>
      <c r="D43" s="110">
        <f>IFERROR(VLOOKUP(A43,Productos!$A:$D,4,0),"")</f>
        <v>28</v>
      </c>
      <c r="E43" s="110">
        <f>IFERROR(VLOOKUP(A43,Productos!$A:$E,5,0),"")</f>
        <v>65</v>
      </c>
      <c r="F43" s="30">
        <f>SUMIF(Ventas!$B:$B,A43,Ventas!$D:$D)</f>
        <v>4</v>
      </c>
      <c r="G43" s="110">
        <f t="shared" si="4"/>
        <v>260</v>
      </c>
      <c r="H43" s="110">
        <f t="shared" si="5"/>
        <v>112</v>
      </c>
      <c r="I43" s="110">
        <f t="shared" si="6"/>
        <v>148</v>
      </c>
      <c r="J43" s="35">
        <f t="shared" si="7"/>
        <v>0.56923076923076921</v>
      </c>
    </row>
    <row r="44" spans="1:10" ht="18" customHeight="1" x14ac:dyDescent="0.25">
      <c r="A44" s="16" t="s">
        <v>142</v>
      </c>
      <c r="B44" s="17" t="str">
        <f>IFERROR(VLOOKUP(A44,Productos!$A:$B,2,0),"")</f>
        <v>Router WiFi 5</v>
      </c>
      <c r="C44" s="18" t="str">
        <f>IFERROR(VLOOKUP(A44,Productos!$A:$C,3,0),"")</f>
        <v>Redes</v>
      </c>
      <c r="D44" s="109">
        <f>IFERROR(VLOOKUP(A44,Productos!$A:$D,4,0),"")</f>
        <v>40</v>
      </c>
      <c r="E44" s="109">
        <f>IFERROR(VLOOKUP(A44,Productos!$A:$E,5,0),"")</f>
        <v>90</v>
      </c>
      <c r="F44" s="27">
        <f>SUMIF(Ventas!$B:$B,A44,Ventas!$D:$D)</f>
        <v>2</v>
      </c>
      <c r="G44" s="109">
        <f t="shared" si="4"/>
        <v>180</v>
      </c>
      <c r="H44" s="109">
        <f t="shared" si="5"/>
        <v>80</v>
      </c>
      <c r="I44" s="109">
        <f t="shared" si="6"/>
        <v>100</v>
      </c>
      <c r="J44" s="34">
        <f t="shared" si="7"/>
        <v>0.55555555555555558</v>
      </c>
    </row>
    <row r="45" spans="1:10" ht="18" customHeight="1" x14ac:dyDescent="0.25">
      <c r="A45" s="20" t="s">
        <v>144</v>
      </c>
      <c r="B45" s="21" t="str">
        <f>IFERROR(VLOOKUP(A45,Productos!$A:$B,2,0),"")</f>
        <v>Router WiFi 6</v>
      </c>
      <c r="C45" s="22" t="str">
        <f>IFERROR(VLOOKUP(A45,Productos!$A:$C,3,0),"")</f>
        <v>Redes</v>
      </c>
      <c r="D45" s="110">
        <f>IFERROR(VLOOKUP(A45,Productos!$A:$D,4,0),"")</f>
        <v>70</v>
      </c>
      <c r="E45" s="110">
        <f>IFERROR(VLOOKUP(A45,Productos!$A:$E,5,0),"")</f>
        <v>150</v>
      </c>
      <c r="F45" s="30">
        <f>SUMIF(Ventas!$B:$B,A45,Ventas!$D:$D)</f>
        <v>1</v>
      </c>
      <c r="G45" s="110">
        <f t="shared" si="4"/>
        <v>150</v>
      </c>
      <c r="H45" s="110">
        <f t="shared" si="5"/>
        <v>70</v>
      </c>
      <c r="I45" s="110">
        <f t="shared" si="6"/>
        <v>80</v>
      </c>
      <c r="J45" s="35">
        <f t="shared" si="7"/>
        <v>0.53333333333333333</v>
      </c>
    </row>
    <row r="46" spans="1:10" ht="18" customHeight="1" x14ac:dyDescent="0.25">
      <c r="A46" s="16" t="s">
        <v>146</v>
      </c>
      <c r="B46" s="17" t="str">
        <f>IFERROR(VLOOKUP(A46,Productos!$A:$B,2,0),"")</f>
        <v>Router Mesh Node</v>
      </c>
      <c r="C46" s="18" t="str">
        <f>IFERROR(VLOOKUP(A46,Productos!$A:$C,3,0),"")</f>
        <v>Redes</v>
      </c>
      <c r="D46" s="109">
        <f>IFERROR(VLOOKUP(A46,Productos!$A:$D,4,0),"")</f>
        <v>65</v>
      </c>
      <c r="E46" s="109">
        <f>IFERROR(VLOOKUP(A46,Productos!$A:$E,5,0),"")</f>
        <v>135</v>
      </c>
      <c r="F46" s="27">
        <f>SUMIF(Ventas!$B:$B,A46,Ventas!$D:$D)</f>
        <v>1</v>
      </c>
      <c r="G46" s="109">
        <f t="shared" si="4"/>
        <v>135</v>
      </c>
      <c r="H46" s="109">
        <f t="shared" si="5"/>
        <v>65</v>
      </c>
      <c r="I46" s="109">
        <f t="shared" si="6"/>
        <v>70</v>
      </c>
      <c r="J46" s="34">
        <f t="shared" si="7"/>
        <v>0.51851851851851849</v>
      </c>
    </row>
    <row r="47" spans="1:10" ht="18" customHeight="1" x14ac:dyDescent="0.25">
      <c r="A47" s="20" t="s">
        <v>148</v>
      </c>
      <c r="B47" s="21" t="str">
        <f>IFERROR(VLOOKUP(A47,Productos!$A:$B,2,0),"")</f>
        <v>Extensor WiFi</v>
      </c>
      <c r="C47" s="22" t="str">
        <f>IFERROR(VLOOKUP(A47,Productos!$A:$C,3,0),"")</f>
        <v>Redes</v>
      </c>
      <c r="D47" s="110">
        <f>IFERROR(VLOOKUP(A47,Productos!$A:$D,4,0),"")</f>
        <v>25</v>
      </c>
      <c r="E47" s="110">
        <f>IFERROR(VLOOKUP(A47,Productos!$A:$E,5,0),"")</f>
        <v>60</v>
      </c>
      <c r="F47" s="30">
        <f>SUMIF(Ventas!$B:$B,A47,Ventas!$D:$D)</f>
        <v>3</v>
      </c>
      <c r="G47" s="110">
        <f t="shared" si="4"/>
        <v>180</v>
      </c>
      <c r="H47" s="110">
        <f t="shared" si="5"/>
        <v>75</v>
      </c>
      <c r="I47" s="110">
        <f t="shared" si="6"/>
        <v>105</v>
      </c>
      <c r="J47" s="35">
        <f t="shared" si="7"/>
        <v>0.58333333333333337</v>
      </c>
    </row>
    <row r="48" spans="1:10" ht="18" customHeight="1" x14ac:dyDescent="0.25">
      <c r="A48" s="16" t="s">
        <v>150</v>
      </c>
      <c r="B48" s="17" t="str">
        <f>IFERROR(VLOOKUP(A48,Productos!$A:$B,2,0),"")</f>
        <v>Switch 8 Puertos</v>
      </c>
      <c r="C48" s="18" t="str">
        <f>IFERROR(VLOOKUP(A48,Productos!$A:$C,3,0),"")</f>
        <v>Redes</v>
      </c>
      <c r="D48" s="109">
        <f>IFERROR(VLOOKUP(A48,Productos!$A:$D,4,0),"")</f>
        <v>32</v>
      </c>
      <c r="E48" s="109">
        <f>IFERROR(VLOOKUP(A48,Productos!$A:$E,5,0),"")</f>
        <v>70</v>
      </c>
      <c r="F48" s="27">
        <f>SUMIF(Ventas!$B:$B,A48,Ventas!$D:$D)</f>
        <v>2</v>
      </c>
      <c r="G48" s="109">
        <f t="shared" si="4"/>
        <v>140</v>
      </c>
      <c r="H48" s="109">
        <f t="shared" si="5"/>
        <v>64</v>
      </c>
      <c r="I48" s="109">
        <f t="shared" si="6"/>
        <v>76</v>
      </c>
      <c r="J48" s="34">
        <f t="shared" si="7"/>
        <v>0.54285714285714282</v>
      </c>
    </row>
    <row r="49" spans="1:10" ht="18" customHeight="1" x14ac:dyDescent="0.25">
      <c r="A49" s="20" t="s">
        <v>152</v>
      </c>
      <c r="B49" s="21" t="str">
        <f>IFERROR(VLOOKUP(A49,Productos!$A:$B,2,0),"")</f>
        <v>Cable HDMI 2m</v>
      </c>
      <c r="C49" s="22" t="str">
        <f>IFERROR(VLOOKUP(A49,Productos!$A:$C,3,0),"")</f>
        <v>Cables</v>
      </c>
      <c r="D49" s="110">
        <f>IFERROR(VLOOKUP(A49,Productos!$A:$D,4,0),"")</f>
        <v>4</v>
      </c>
      <c r="E49" s="110">
        <f>IFERROR(VLOOKUP(A49,Productos!$A:$E,5,0),"")</f>
        <v>15</v>
      </c>
      <c r="F49" s="30">
        <f>SUMIF(Ventas!$B:$B,A49,Ventas!$D:$D)</f>
        <v>6</v>
      </c>
      <c r="G49" s="110">
        <f t="shared" si="4"/>
        <v>90</v>
      </c>
      <c r="H49" s="110">
        <f t="shared" si="5"/>
        <v>24</v>
      </c>
      <c r="I49" s="110">
        <f t="shared" si="6"/>
        <v>66</v>
      </c>
      <c r="J49" s="35">
        <f t="shared" si="7"/>
        <v>0.73333333333333328</v>
      </c>
    </row>
    <row r="50" spans="1:10" ht="18" customHeight="1" x14ac:dyDescent="0.25">
      <c r="A50" s="16" t="s">
        <v>154</v>
      </c>
      <c r="B50" s="17" t="str">
        <f>IFERROR(VLOOKUP(A50,Productos!$A:$B,2,0),"")</f>
        <v>Cable HDMI 5m</v>
      </c>
      <c r="C50" s="18" t="str">
        <f>IFERROR(VLOOKUP(A50,Productos!$A:$C,3,0),"")</f>
        <v>Cables</v>
      </c>
      <c r="D50" s="109">
        <f>IFERROR(VLOOKUP(A50,Productos!$A:$D,4,0),"")</f>
        <v>6</v>
      </c>
      <c r="E50" s="109">
        <f>IFERROR(VLOOKUP(A50,Productos!$A:$E,5,0),"")</f>
        <v>18</v>
      </c>
      <c r="F50" s="27">
        <f>SUMIF(Ventas!$B:$B,A50,Ventas!$D:$D)</f>
        <v>5</v>
      </c>
      <c r="G50" s="109">
        <f t="shared" si="4"/>
        <v>90</v>
      </c>
      <c r="H50" s="109">
        <f t="shared" si="5"/>
        <v>30</v>
      </c>
      <c r="I50" s="109">
        <f t="shared" si="6"/>
        <v>60</v>
      </c>
      <c r="J50" s="34">
        <f t="shared" si="7"/>
        <v>0.66666666666666663</v>
      </c>
    </row>
    <row r="51" spans="1:10" ht="18" customHeight="1" x14ac:dyDescent="0.25">
      <c r="A51" s="20" t="s">
        <v>156</v>
      </c>
      <c r="B51" s="21" t="str">
        <f>IFERROR(VLOOKUP(A51,Productos!$A:$B,2,0),"")</f>
        <v>Cable USB-C</v>
      </c>
      <c r="C51" s="22" t="str">
        <f>IFERROR(VLOOKUP(A51,Productos!$A:$C,3,0),"")</f>
        <v>Cables</v>
      </c>
      <c r="D51" s="110">
        <f>IFERROR(VLOOKUP(A51,Productos!$A:$D,4,0),"")</f>
        <v>5</v>
      </c>
      <c r="E51" s="110">
        <f>IFERROR(VLOOKUP(A51,Productos!$A:$E,5,0),"")</f>
        <v>16</v>
      </c>
      <c r="F51" s="30">
        <f>SUMIF(Ventas!$B:$B,A51,Ventas!$D:$D)</f>
        <v>5</v>
      </c>
      <c r="G51" s="110">
        <f t="shared" si="4"/>
        <v>80</v>
      </c>
      <c r="H51" s="110">
        <f t="shared" si="5"/>
        <v>25</v>
      </c>
      <c r="I51" s="110">
        <f t="shared" si="6"/>
        <v>55</v>
      </c>
      <c r="J51" s="35">
        <f t="shared" si="7"/>
        <v>0.6875</v>
      </c>
    </row>
    <row r="52" spans="1:10" ht="18" customHeight="1" x14ac:dyDescent="0.25">
      <c r="A52" s="16" t="s">
        <v>158</v>
      </c>
      <c r="B52" s="17" t="str">
        <f>IFERROR(VLOOKUP(A52,Productos!$A:$B,2,0),"")</f>
        <v>Cable Ethernet Cat6</v>
      </c>
      <c r="C52" s="18" t="str">
        <f>IFERROR(VLOOKUP(A52,Productos!$A:$C,3,0),"")</f>
        <v>Cables</v>
      </c>
      <c r="D52" s="109">
        <f>IFERROR(VLOOKUP(A52,Productos!$A:$D,4,0),"")</f>
        <v>3</v>
      </c>
      <c r="E52" s="109">
        <f>IFERROR(VLOOKUP(A52,Productos!$A:$E,5,0),"")</f>
        <v>12</v>
      </c>
      <c r="F52" s="27">
        <f>SUMIF(Ventas!$B:$B,A52,Ventas!$D:$D)</f>
        <v>6</v>
      </c>
      <c r="G52" s="109">
        <f t="shared" si="4"/>
        <v>72</v>
      </c>
      <c r="H52" s="109">
        <f t="shared" si="5"/>
        <v>18</v>
      </c>
      <c r="I52" s="109">
        <f t="shared" si="6"/>
        <v>54</v>
      </c>
      <c r="J52" s="34">
        <f t="shared" si="7"/>
        <v>0.75</v>
      </c>
    </row>
    <row r="53" spans="1:10" ht="18" customHeight="1" x14ac:dyDescent="0.25">
      <c r="A53" s="20" t="s">
        <v>160</v>
      </c>
      <c r="B53" s="21" t="str">
        <f>IFERROR(VLOOKUP(A53,Productos!$A:$B,2,0),"")</f>
        <v>Cable DisplayPort</v>
      </c>
      <c r="C53" s="22" t="str">
        <f>IFERROR(VLOOKUP(A53,Productos!$A:$C,3,0),"")</f>
        <v>Cables</v>
      </c>
      <c r="D53" s="110">
        <f>IFERROR(VLOOKUP(A53,Productos!$A:$D,4,0),"")</f>
        <v>6</v>
      </c>
      <c r="E53" s="110">
        <f>IFERROR(VLOOKUP(A53,Productos!$A:$E,5,0),"")</f>
        <v>20</v>
      </c>
      <c r="F53" s="30">
        <f>SUMIF(Ventas!$B:$B,A53,Ventas!$D:$D)</f>
        <v>4</v>
      </c>
      <c r="G53" s="110">
        <f t="shared" si="4"/>
        <v>80</v>
      </c>
      <c r="H53" s="110">
        <f t="shared" si="5"/>
        <v>24</v>
      </c>
      <c r="I53" s="110">
        <f t="shared" si="6"/>
        <v>56</v>
      </c>
      <c r="J53" s="35">
        <f t="shared" si="7"/>
        <v>0.7</v>
      </c>
    </row>
    <row r="54" spans="1:10" ht="18" customHeight="1" x14ac:dyDescent="0.25">
      <c r="A54" s="16" t="s">
        <v>162</v>
      </c>
      <c r="B54" s="17" t="str">
        <f>IFERROR(VLOOKUP(A54,Productos!$A:$B,2,0),"")</f>
        <v>Tablet 8</v>
      </c>
      <c r="C54" s="18" t="str">
        <f>IFERROR(VLOOKUP(A54,Productos!$A:$C,3,0),"")</f>
        <v>Tablets</v>
      </c>
      <c r="D54" s="109">
        <f>IFERROR(VLOOKUP(A54,Productos!$A:$D,4,0),"")</f>
        <v>110</v>
      </c>
      <c r="E54" s="109">
        <f>IFERROR(VLOOKUP(A54,Productos!$A:$E,5,0),"")</f>
        <v>180</v>
      </c>
      <c r="F54" s="27">
        <f>SUMIF(Ventas!$B:$B,A54,Ventas!$D:$D)</f>
        <v>2</v>
      </c>
      <c r="G54" s="109">
        <f t="shared" si="4"/>
        <v>360</v>
      </c>
      <c r="H54" s="109">
        <f t="shared" si="5"/>
        <v>220</v>
      </c>
      <c r="I54" s="109">
        <f t="shared" si="6"/>
        <v>140</v>
      </c>
      <c r="J54" s="34">
        <f t="shared" si="7"/>
        <v>0.3888888888888889</v>
      </c>
    </row>
    <row r="55" spans="1:10" ht="18" customHeight="1" x14ac:dyDescent="0.25">
      <c r="A55" s="20" t="s">
        <v>164</v>
      </c>
      <c r="B55" s="21" t="str">
        <f>IFERROR(VLOOKUP(A55,Productos!$A:$B,2,0),"")</f>
        <v>Tablet 10</v>
      </c>
      <c r="C55" s="22" t="str">
        <f>IFERROR(VLOOKUP(A55,Productos!$A:$C,3,0),"")</f>
        <v>Tablets</v>
      </c>
      <c r="D55" s="110">
        <f>IFERROR(VLOOKUP(A55,Productos!$A:$D,4,0),"")</f>
        <v>150</v>
      </c>
      <c r="E55" s="110">
        <f>IFERROR(VLOOKUP(A55,Productos!$A:$E,5,0),"")</f>
        <v>240</v>
      </c>
      <c r="F55" s="30">
        <f>SUMIF(Ventas!$B:$B,A55,Ventas!$D:$D)</f>
        <v>1</v>
      </c>
      <c r="G55" s="110">
        <f t="shared" si="4"/>
        <v>240</v>
      </c>
      <c r="H55" s="110">
        <f t="shared" si="5"/>
        <v>150</v>
      </c>
      <c r="I55" s="110">
        <f t="shared" si="6"/>
        <v>90</v>
      </c>
      <c r="J55" s="35">
        <f t="shared" si="7"/>
        <v>0.375</v>
      </c>
    </row>
    <row r="56" spans="1:10" ht="18" customHeight="1" x14ac:dyDescent="0.25">
      <c r="A56" s="16" t="s">
        <v>166</v>
      </c>
      <c r="B56" s="17" t="str">
        <f>IFERROR(VLOOKUP(A56,Productos!$A:$B,2,0),"")</f>
        <v>Tablet Pro</v>
      </c>
      <c r="C56" s="18" t="str">
        <f>IFERROR(VLOOKUP(A56,Productos!$A:$C,3,0),"")</f>
        <v>Tablets</v>
      </c>
      <c r="D56" s="109">
        <f>IFERROR(VLOOKUP(A56,Productos!$A:$D,4,0),"")</f>
        <v>210</v>
      </c>
      <c r="E56" s="109">
        <f>IFERROR(VLOOKUP(A56,Productos!$A:$E,5,0),"")</f>
        <v>340</v>
      </c>
      <c r="F56" s="27">
        <f>SUMIF(Ventas!$B:$B,A56,Ventas!$D:$D)</f>
        <v>1</v>
      </c>
      <c r="G56" s="109">
        <f t="shared" si="4"/>
        <v>340</v>
      </c>
      <c r="H56" s="109">
        <f t="shared" si="5"/>
        <v>210</v>
      </c>
      <c r="I56" s="109">
        <f t="shared" si="6"/>
        <v>130</v>
      </c>
      <c r="J56" s="34">
        <f t="shared" si="7"/>
        <v>0.38235294117647056</v>
      </c>
    </row>
    <row r="57" spans="1:10" ht="18" customHeight="1" x14ac:dyDescent="0.25">
      <c r="A57" s="20" t="s">
        <v>168</v>
      </c>
      <c r="B57" s="21" t="str">
        <f>IFERROR(VLOOKUP(A57,Productos!$A:$B,2,0),"")</f>
        <v>Tablet Mini</v>
      </c>
      <c r="C57" s="22" t="str">
        <f>IFERROR(VLOOKUP(A57,Productos!$A:$C,3,0),"")</f>
        <v>Tablets</v>
      </c>
      <c r="D57" s="110">
        <f>IFERROR(VLOOKUP(A57,Productos!$A:$D,4,0),"")</f>
        <v>95</v>
      </c>
      <c r="E57" s="110">
        <f>IFERROR(VLOOKUP(A57,Productos!$A:$E,5,0),"")</f>
        <v>160</v>
      </c>
      <c r="F57" s="30">
        <f>SUMIF(Ventas!$B:$B,A57,Ventas!$D:$D)</f>
        <v>2</v>
      </c>
      <c r="G57" s="110">
        <f t="shared" si="4"/>
        <v>320</v>
      </c>
      <c r="H57" s="110">
        <f t="shared" si="5"/>
        <v>190</v>
      </c>
      <c r="I57" s="110">
        <f t="shared" si="6"/>
        <v>130</v>
      </c>
      <c r="J57" s="35">
        <f t="shared" si="7"/>
        <v>0.40625</v>
      </c>
    </row>
    <row r="58" spans="1:10" ht="18" customHeight="1" x14ac:dyDescent="0.25">
      <c r="A58" s="16" t="s">
        <v>170</v>
      </c>
      <c r="B58" s="17" t="str">
        <f>IFERROR(VLOOKUP(A58,Productos!$A:$B,2,0),"")</f>
        <v>Tablet Studio</v>
      </c>
      <c r="C58" s="18" t="str">
        <f>IFERROR(VLOOKUP(A58,Productos!$A:$C,3,0),"")</f>
        <v>Tablets</v>
      </c>
      <c r="D58" s="109">
        <f>IFERROR(VLOOKUP(A58,Productos!$A:$D,4,0),"")</f>
        <v>260</v>
      </c>
      <c r="E58" s="109">
        <f>IFERROR(VLOOKUP(A58,Productos!$A:$E,5,0),"")</f>
        <v>420</v>
      </c>
      <c r="F58" s="27">
        <f>SUMIF(Ventas!$B:$B,A58,Ventas!$D:$D)</f>
        <v>1</v>
      </c>
      <c r="G58" s="109">
        <f t="shared" si="4"/>
        <v>420</v>
      </c>
      <c r="H58" s="109">
        <f t="shared" si="5"/>
        <v>260</v>
      </c>
      <c r="I58" s="109">
        <f t="shared" si="6"/>
        <v>160</v>
      </c>
      <c r="J58" s="34">
        <f t="shared" si="7"/>
        <v>0.38095238095238093</v>
      </c>
    </row>
    <row r="59" spans="1:10" ht="18" customHeight="1" x14ac:dyDescent="0.25">
      <c r="A59" s="20" t="s">
        <v>172</v>
      </c>
      <c r="B59" s="21" t="str">
        <f>IFERROR(VLOOKUP(A59,Productos!$A:$B,2,0),"")</f>
        <v>Impresora InkJet</v>
      </c>
      <c r="C59" s="22" t="str">
        <f>IFERROR(VLOOKUP(A59,Productos!$A:$C,3,0),"")</f>
        <v>Impresoras</v>
      </c>
      <c r="D59" s="110">
        <f>IFERROR(VLOOKUP(A59,Productos!$A:$D,4,0),"")</f>
        <v>65</v>
      </c>
      <c r="E59" s="110">
        <f>IFERROR(VLOOKUP(A59,Productos!$A:$E,5,0),"")</f>
        <v>140</v>
      </c>
      <c r="F59" s="30">
        <f>SUMIF(Ventas!$B:$B,A59,Ventas!$D:$D)</f>
        <v>2</v>
      </c>
      <c r="G59" s="110">
        <f t="shared" si="4"/>
        <v>280</v>
      </c>
      <c r="H59" s="110">
        <f t="shared" si="5"/>
        <v>130</v>
      </c>
      <c r="I59" s="110">
        <f t="shared" si="6"/>
        <v>150</v>
      </c>
      <c r="J59" s="35">
        <f t="shared" si="7"/>
        <v>0.5357142857142857</v>
      </c>
    </row>
    <row r="60" spans="1:10" ht="18" customHeight="1" x14ac:dyDescent="0.25">
      <c r="A60" s="16" t="s">
        <v>174</v>
      </c>
      <c r="B60" s="17" t="str">
        <f>IFERROR(VLOOKUP(A60,Productos!$A:$B,2,0),"")</f>
        <v>Impresora Laser</v>
      </c>
      <c r="C60" s="18" t="str">
        <f>IFERROR(VLOOKUP(A60,Productos!$A:$C,3,0),"")</f>
        <v>Impresoras</v>
      </c>
      <c r="D60" s="109">
        <f>IFERROR(VLOOKUP(A60,Productos!$A:$D,4,0),"")</f>
        <v>120</v>
      </c>
      <c r="E60" s="109">
        <f>IFERROR(VLOOKUP(A60,Productos!$A:$E,5,0),"")</f>
        <v>240</v>
      </c>
      <c r="F60" s="27">
        <f>SUMIF(Ventas!$B:$B,A60,Ventas!$D:$D)</f>
        <v>1</v>
      </c>
      <c r="G60" s="109">
        <f t="shared" si="4"/>
        <v>240</v>
      </c>
      <c r="H60" s="109">
        <f t="shared" si="5"/>
        <v>120</v>
      </c>
      <c r="I60" s="109">
        <f t="shared" si="6"/>
        <v>120</v>
      </c>
      <c r="J60" s="34">
        <f t="shared" si="7"/>
        <v>0.5</v>
      </c>
    </row>
    <row r="61" spans="1:10" ht="18" customHeight="1" x14ac:dyDescent="0.25">
      <c r="A61" s="20" t="s">
        <v>176</v>
      </c>
      <c r="B61" s="21" t="str">
        <f>IFERROR(VLOOKUP(A61,Productos!$A:$B,2,0),"")</f>
        <v>Impresora Multifunción</v>
      </c>
      <c r="C61" s="22" t="str">
        <f>IFERROR(VLOOKUP(A61,Productos!$A:$C,3,0),"")</f>
        <v>Impresoras</v>
      </c>
      <c r="D61" s="110">
        <f>IFERROR(VLOOKUP(A61,Productos!$A:$D,4,0),"")</f>
        <v>150</v>
      </c>
      <c r="E61" s="110">
        <f>IFERROR(VLOOKUP(A61,Productos!$A:$E,5,0),"")</f>
        <v>290</v>
      </c>
      <c r="F61" s="30">
        <f>SUMIF(Ventas!$B:$B,A61,Ventas!$D:$D)</f>
        <v>1</v>
      </c>
      <c r="G61" s="110">
        <f t="shared" si="4"/>
        <v>290</v>
      </c>
      <c r="H61" s="110">
        <f t="shared" si="5"/>
        <v>150</v>
      </c>
      <c r="I61" s="110">
        <f t="shared" si="6"/>
        <v>140</v>
      </c>
      <c r="J61" s="35">
        <f t="shared" si="7"/>
        <v>0.48275862068965519</v>
      </c>
    </row>
    <row r="62" spans="1:10" ht="18" customHeight="1" x14ac:dyDescent="0.25">
      <c r="A62" s="16" t="s">
        <v>178</v>
      </c>
      <c r="B62" s="17" t="str">
        <f>IFERROR(VLOOKUP(A62,Productos!$A:$B,2,0),"")</f>
        <v>Impresora Compacta</v>
      </c>
      <c r="C62" s="18" t="str">
        <f>IFERROR(VLOOKUP(A62,Productos!$A:$C,3,0),"")</f>
        <v>Impresoras</v>
      </c>
      <c r="D62" s="109">
        <f>IFERROR(VLOOKUP(A62,Productos!$A:$D,4,0),"")</f>
        <v>55</v>
      </c>
      <c r="E62" s="109">
        <f>IFERROR(VLOOKUP(A62,Productos!$A:$E,5,0),"")</f>
        <v>115</v>
      </c>
      <c r="F62" s="27">
        <f>SUMIF(Ventas!$B:$B,A62,Ventas!$D:$D)</f>
        <v>2</v>
      </c>
      <c r="G62" s="109">
        <f t="shared" si="4"/>
        <v>230</v>
      </c>
      <c r="H62" s="109">
        <f t="shared" si="5"/>
        <v>110</v>
      </c>
      <c r="I62" s="109">
        <f t="shared" si="6"/>
        <v>120</v>
      </c>
      <c r="J62" s="34">
        <f t="shared" si="7"/>
        <v>0.52173913043478259</v>
      </c>
    </row>
    <row r="63" spans="1:10" ht="18" customHeight="1" x14ac:dyDescent="0.25">
      <c r="A63" s="20" t="s">
        <v>180</v>
      </c>
      <c r="B63" s="21" t="str">
        <f>IFERROR(VLOOKUP(A63,Productos!$A:$B,2,0),"")</f>
        <v>Impresora WiFi</v>
      </c>
      <c r="C63" s="22" t="str">
        <f>IFERROR(VLOOKUP(A63,Productos!$A:$C,3,0),"")</f>
        <v>Impresoras</v>
      </c>
      <c r="D63" s="110">
        <f>IFERROR(VLOOKUP(A63,Productos!$A:$D,4,0),"")</f>
        <v>85</v>
      </c>
      <c r="E63" s="110">
        <f>IFERROR(VLOOKUP(A63,Productos!$A:$E,5,0),"")</f>
        <v>170</v>
      </c>
      <c r="F63" s="30">
        <f>SUMIF(Ventas!$B:$B,A63,Ventas!$D:$D)</f>
        <v>2</v>
      </c>
      <c r="G63" s="110">
        <f t="shared" si="4"/>
        <v>340</v>
      </c>
      <c r="H63" s="110">
        <f t="shared" si="5"/>
        <v>170</v>
      </c>
      <c r="I63" s="110">
        <f t="shared" si="6"/>
        <v>170</v>
      </c>
      <c r="J63" s="35">
        <f t="shared" si="7"/>
        <v>0.5</v>
      </c>
    </row>
    <row r="64" spans="1:10" ht="18" customHeight="1" x14ac:dyDescent="0.25">
      <c r="A64" s="16" t="s">
        <v>182</v>
      </c>
      <c r="B64" s="17" t="str">
        <f>IFERROR(VLOOKUP(A64,Productos!$A:$B,2,0),"")</f>
        <v>Silla Gamer</v>
      </c>
      <c r="C64" s="18" t="str">
        <f>IFERROR(VLOOKUP(A64,Productos!$A:$C,3,0),"")</f>
        <v>Mobiliario</v>
      </c>
      <c r="D64" s="109">
        <f>IFERROR(VLOOKUP(A64,Productos!$A:$D,4,0),"")</f>
        <v>120</v>
      </c>
      <c r="E64" s="109">
        <f>IFERROR(VLOOKUP(A64,Productos!$A:$E,5,0),"")</f>
        <v>240</v>
      </c>
      <c r="F64" s="27">
        <f>SUMIF(Ventas!$B:$B,A64,Ventas!$D:$D)</f>
        <v>1</v>
      </c>
      <c r="G64" s="109">
        <f t="shared" si="4"/>
        <v>240</v>
      </c>
      <c r="H64" s="109">
        <f t="shared" si="5"/>
        <v>120</v>
      </c>
      <c r="I64" s="109">
        <f t="shared" si="6"/>
        <v>120</v>
      </c>
      <c r="J64" s="34">
        <f t="shared" si="7"/>
        <v>0.5</v>
      </c>
    </row>
    <row r="65" spans="1:10" ht="18" customHeight="1" x14ac:dyDescent="0.25">
      <c r="A65" s="20" t="s">
        <v>185</v>
      </c>
      <c r="B65" s="21" t="str">
        <f>IFERROR(VLOOKUP(A65,Productos!$A:$B,2,0),"")</f>
        <v>Silla Oficina Pro</v>
      </c>
      <c r="C65" s="22" t="str">
        <f>IFERROR(VLOOKUP(A65,Productos!$A:$C,3,0),"")</f>
        <v>Mobiliario</v>
      </c>
      <c r="D65" s="110">
        <f>IFERROR(VLOOKUP(A65,Productos!$A:$D,4,0),"")</f>
        <v>95</v>
      </c>
      <c r="E65" s="110">
        <f>IFERROR(VLOOKUP(A65,Productos!$A:$E,5,0),"")</f>
        <v>190</v>
      </c>
      <c r="F65" s="30">
        <f>SUMIF(Ventas!$B:$B,A65,Ventas!$D:$D)</f>
        <v>1</v>
      </c>
      <c r="G65" s="110">
        <f t="shared" si="4"/>
        <v>190</v>
      </c>
      <c r="H65" s="110">
        <f t="shared" si="5"/>
        <v>95</v>
      </c>
      <c r="I65" s="110">
        <f t="shared" si="6"/>
        <v>95</v>
      </c>
      <c r="J65" s="35">
        <f t="shared" si="7"/>
        <v>0.5</v>
      </c>
    </row>
    <row r="66" spans="1:10" ht="18" customHeight="1" x14ac:dyDescent="0.25">
      <c r="A66" s="16" t="s">
        <v>187</v>
      </c>
      <c r="B66" s="17" t="str">
        <f>IFERROR(VLOOKUP(A66,Productos!$A:$B,2,0),"")</f>
        <v>Silla Ergonómica</v>
      </c>
      <c r="C66" s="18" t="str">
        <f>IFERROR(VLOOKUP(A66,Productos!$A:$C,3,0),"")</f>
        <v>Mobiliario</v>
      </c>
      <c r="D66" s="109">
        <f>IFERROR(VLOOKUP(A66,Productos!$A:$D,4,0),"")</f>
        <v>140</v>
      </c>
      <c r="E66" s="109">
        <f>IFERROR(VLOOKUP(A66,Productos!$A:$E,5,0),"")</f>
        <v>270</v>
      </c>
      <c r="F66" s="27">
        <f>SUMIF(Ventas!$B:$B,A66,Ventas!$D:$D)</f>
        <v>1</v>
      </c>
      <c r="G66" s="109">
        <f t="shared" si="4"/>
        <v>270</v>
      </c>
      <c r="H66" s="109">
        <f t="shared" si="5"/>
        <v>140</v>
      </c>
      <c r="I66" s="109">
        <f t="shared" si="6"/>
        <v>130</v>
      </c>
      <c r="J66" s="34">
        <f t="shared" si="7"/>
        <v>0.48148148148148145</v>
      </c>
    </row>
    <row r="67" spans="1:10" ht="18" customHeight="1" x14ac:dyDescent="0.25">
      <c r="A67" s="20" t="s">
        <v>189</v>
      </c>
      <c r="B67" s="21" t="str">
        <f>IFERROR(VLOOKUP(A67,Productos!$A:$B,2,0),"")</f>
        <v>Escritorio Compacto</v>
      </c>
      <c r="C67" s="22" t="str">
        <f>IFERROR(VLOOKUP(A67,Productos!$A:$C,3,0),"")</f>
        <v>Mobiliario</v>
      </c>
      <c r="D67" s="110">
        <f>IFERROR(VLOOKUP(A67,Productos!$A:$D,4,0),"")</f>
        <v>75</v>
      </c>
      <c r="E67" s="110">
        <f>IFERROR(VLOOKUP(A67,Productos!$A:$E,5,0),"")</f>
        <v>150</v>
      </c>
      <c r="F67" s="30">
        <f>SUMIF(Ventas!$B:$B,A67,Ventas!$D:$D)</f>
        <v>2</v>
      </c>
      <c r="G67" s="110">
        <f t="shared" si="4"/>
        <v>300</v>
      </c>
      <c r="H67" s="110">
        <f t="shared" si="5"/>
        <v>150</v>
      </c>
      <c r="I67" s="110">
        <f t="shared" si="6"/>
        <v>150</v>
      </c>
      <c r="J67" s="35">
        <f t="shared" si="7"/>
        <v>0.5</v>
      </c>
    </row>
    <row r="68" spans="1:10" ht="18" customHeight="1" x14ac:dyDescent="0.25">
      <c r="A68" s="16" t="s">
        <v>191</v>
      </c>
      <c r="B68" s="17" t="str">
        <f>IFERROR(VLOOKUP(A68,Productos!$A:$B,2,0),"")</f>
        <v>Escritorio Gamer</v>
      </c>
      <c r="C68" s="18" t="str">
        <f>IFERROR(VLOOKUP(A68,Productos!$A:$C,3,0),"")</f>
        <v>Mobiliario</v>
      </c>
      <c r="D68" s="109">
        <f>IFERROR(VLOOKUP(A68,Productos!$A:$D,4,0),"")</f>
        <v>110</v>
      </c>
      <c r="E68" s="109">
        <f>IFERROR(VLOOKUP(A68,Productos!$A:$E,5,0),"")</f>
        <v>220</v>
      </c>
      <c r="F68" s="27">
        <f>SUMIF(Ventas!$B:$B,A68,Ventas!$D:$D)</f>
        <v>1</v>
      </c>
      <c r="G68" s="109">
        <f t="shared" ref="G68:G99" si="8">IFERROR(F68*E68,0)</f>
        <v>220</v>
      </c>
      <c r="H68" s="109">
        <f t="shared" ref="H68:H103" si="9">IFERROR(F68*D68,0)</f>
        <v>110</v>
      </c>
      <c r="I68" s="109">
        <f t="shared" ref="I68:I99" si="10">IFERROR(G68-H68,0)</f>
        <v>110</v>
      </c>
      <c r="J68" s="34">
        <f t="shared" ref="J68:J104" si="11">IFERROR((G68-H68)/G68,0)</f>
        <v>0.5</v>
      </c>
    </row>
    <row r="69" spans="1:10" ht="18" customHeight="1" x14ac:dyDescent="0.25">
      <c r="A69" s="20" t="s">
        <v>193</v>
      </c>
      <c r="B69" s="21" t="str">
        <f>IFERROR(VLOOKUP(A69,Productos!$A:$B,2,0),"")</f>
        <v>Base Laptop</v>
      </c>
      <c r="C69" s="22" t="str">
        <f>IFERROR(VLOOKUP(A69,Productos!$A:$C,3,0),"")</f>
        <v>Accesorios</v>
      </c>
      <c r="D69" s="110">
        <f>IFERROR(VLOOKUP(A69,Productos!$A:$D,4,0),"")</f>
        <v>15</v>
      </c>
      <c r="E69" s="110">
        <f>IFERROR(VLOOKUP(A69,Productos!$A:$E,5,0),"")</f>
        <v>38</v>
      </c>
      <c r="F69" s="30">
        <f>SUMIF(Ventas!$B:$B,A69,Ventas!$D:$D)</f>
        <v>4</v>
      </c>
      <c r="G69" s="110">
        <f t="shared" si="8"/>
        <v>152</v>
      </c>
      <c r="H69" s="110">
        <f t="shared" si="9"/>
        <v>60</v>
      </c>
      <c r="I69" s="110">
        <f t="shared" si="10"/>
        <v>92</v>
      </c>
      <c r="J69" s="35">
        <f t="shared" si="11"/>
        <v>0.60526315789473684</v>
      </c>
    </row>
    <row r="70" spans="1:10" ht="18" customHeight="1" x14ac:dyDescent="0.25">
      <c r="A70" s="16" t="s">
        <v>195</v>
      </c>
      <c r="B70" s="17" t="str">
        <f>IFERROR(VLOOKUP(A70,Productos!$A:$B,2,0),"")</f>
        <v>Cooling Pad RGB</v>
      </c>
      <c r="C70" s="18" t="str">
        <f>IFERROR(VLOOKUP(A70,Productos!$A:$C,3,0),"")</f>
        <v>Accesorios</v>
      </c>
      <c r="D70" s="109">
        <f>IFERROR(VLOOKUP(A70,Productos!$A:$D,4,0),"")</f>
        <v>22</v>
      </c>
      <c r="E70" s="109">
        <f>IFERROR(VLOOKUP(A70,Productos!$A:$E,5,0),"")</f>
        <v>50</v>
      </c>
      <c r="F70" s="27">
        <f>SUMIF(Ventas!$B:$B,A70,Ventas!$D:$D)</f>
        <v>3</v>
      </c>
      <c r="G70" s="109">
        <f t="shared" si="8"/>
        <v>150</v>
      </c>
      <c r="H70" s="109">
        <f t="shared" si="9"/>
        <v>66</v>
      </c>
      <c r="I70" s="109">
        <f t="shared" si="10"/>
        <v>84</v>
      </c>
      <c r="J70" s="34">
        <f t="shared" si="11"/>
        <v>0.56000000000000005</v>
      </c>
    </row>
    <row r="71" spans="1:10" ht="18" customHeight="1" x14ac:dyDescent="0.25">
      <c r="A71" s="20" t="s">
        <v>197</v>
      </c>
      <c r="B71" s="21" t="str">
        <f>IFERROR(VLOOKUP(A71,Productos!$A:$B,2,0),"")</f>
        <v>Hub USB</v>
      </c>
      <c r="C71" s="22" t="str">
        <f>IFERROR(VLOOKUP(A71,Productos!$A:$C,3,0),"")</f>
        <v>Accesorios</v>
      </c>
      <c r="D71" s="110">
        <f>IFERROR(VLOOKUP(A71,Productos!$A:$D,4,0),"")</f>
        <v>12</v>
      </c>
      <c r="E71" s="110">
        <f>IFERROR(VLOOKUP(A71,Productos!$A:$E,5,0),"")</f>
        <v>32</v>
      </c>
      <c r="F71" s="30">
        <f>SUMIF(Ventas!$B:$B,A71,Ventas!$D:$D)</f>
        <v>4</v>
      </c>
      <c r="G71" s="110">
        <f t="shared" si="8"/>
        <v>128</v>
      </c>
      <c r="H71" s="110">
        <f t="shared" si="9"/>
        <v>48</v>
      </c>
      <c r="I71" s="110">
        <f t="shared" si="10"/>
        <v>80</v>
      </c>
      <c r="J71" s="35">
        <f t="shared" si="11"/>
        <v>0.625</v>
      </c>
    </row>
    <row r="72" spans="1:10" ht="18" customHeight="1" x14ac:dyDescent="0.25">
      <c r="A72" s="16" t="s">
        <v>199</v>
      </c>
      <c r="B72" s="17" t="str">
        <f>IFERROR(VLOOKUP(A72,Productos!$A:$B,2,0),"")</f>
        <v>Hub USB-C</v>
      </c>
      <c r="C72" s="18" t="str">
        <f>IFERROR(VLOOKUP(A72,Productos!$A:$C,3,0),"")</f>
        <v>Accesorios</v>
      </c>
      <c r="D72" s="109">
        <f>IFERROR(VLOOKUP(A72,Productos!$A:$D,4,0),"")</f>
        <v>18</v>
      </c>
      <c r="E72" s="109">
        <f>IFERROR(VLOOKUP(A72,Productos!$A:$E,5,0),"")</f>
        <v>45</v>
      </c>
      <c r="F72" s="27">
        <f>SUMIF(Ventas!$B:$B,A72,Ventas!$D:$D)</f>
        <v>3</v>
      </c>
      <c r="G72" s="109">
        <f t="shared" si="8"/>
        <v>135</v>
      </c>
      <c r="H72" s="109">
        <f t="shared" si="9"/>
        <v>54</v>
      </c>
      <c r="I72" s="109">
        <f t="shared" si="10"/>
        <v>81</v>
      </c>
      <c r="J72" s="34">
        <f t="shared" si="11"/>
        <v>0.6</v>
      </c>
    </row>
    <row r="73" spans="1:10" ht="18" customHeight="1" x14ac:dyDescent="0.25">
      <c r="A73" s="20" t="s">
        <v>201</v>
      </c>
      <c r="B73" s="21" t="str">
        <f>IFERROR(VLOOKUP(A73,Productos!$A:$B,2,0),"")</f>
        <v>Adaptador HDMI</v>
      </c>
      <c r="C73" s="22" t="str">
        <f>IFERROR(VLOOKUP(A73,Productos!$A:$C,3,0),"")</f>
        <v>Accesorios</v>
      </c>
      <c r="D73" s="110">
        <f>IFERROR(VLOOKUP(A73,Productos!$A:$D,4,0),"")</f>
        <v>10</v>
      </c>
      <c r="E73" s="110">
        <f>IFERROR(VLOOKUP(A73,Productos!$A:$E,5,0),"")</f>
        <v>28</v>
      </c>
      <c r="F73" s="30">
        <f>SUMIF(Ventas!$B:$B,A73,Ventas!$D:$D)</f>
        <v>4</v>
      </c>
      <c r="G73" s="110">
        <f t="shared" si="8"/>
        <v>112</v>
      </c>
      <c r="H73" s="110">
        <f t="shared" si="9"/>
        <v>40</v>
      </c>
      <c r="I73" s="110">
        <f t="shared" si="10"/>
        <v>72</v>
      </c>
      <c r="J73" s="35">
        <f t="shared" si="11"/>
        <v>0.6428571428571429</v>
      </c>
    </row>
    <row r="74" spans="1:10" ht="18" customHeight="1" x14ac:dyDescent="0.25">
      <c r="A74" s="16" t="s">
        <v>203</v>
      </c>
      <c r="B74" s="17" t="str">
        <f>IFERROR(VLOOKUP(A74,Productos!$A:$B,2,0),"")</f>
        <v>Power Bank 10000</v>
      </c>
      <c r="C74" s="18" t="str">
        <f>IFERROR(VLOOKUP(A74,Productos!$A:$C,3,0),"")</f>
        <v>Energía</v>
      </c>
      <c r="D74" s="109">
        <f>IFERROR(VLOOKUP(A74,Productos!$A:$D,4,0),"")</f>
        <v>14</v>
      </c>
      <c r="E74" s="109">
        <f>IFERROR(VLOOKUP(A74,Productos!$A:$E,5,0),"")</f>
        <v>38</v>
      </c>
      <c r="F74" s="27">
        <f>SUMIF(Ventas!$B:$B,A74,Ventas!$D:$D)</f>
        <v>5</v>
      </c>
      <c r="G74" s="109">
        <f t="shared" si="8"/>
        <v>190</v>
      </c>
      <c r="H74" s="109">
        <f t="shared" si="9"/>
        <v>70</v>
      </c>
      <c r="I74" s="109">
        <f t="shared" si="10"/>
        <v>120</v>
      </c>
      <c r="J74" s="34">
        <f t="shared" si="11"/>
        <v>0.63157894736842102</v>
      </c>
    </row>
    <row r="75" spans="1:10" ht="18" customHeight="1" x14ac:dyDescent="0.25">
      <c r="A75" s="20" t="s">
        <v>206</v>
      </c>
      <c r="B75" s="21" t="str">
        <f>IFERROR(VLOOKUP(A75,Productos!$A:$B,2,0),"")</f>
        <v>Power Bank 20000</v>
      </c>
      <c r="C75" s="22" t="str">
        <f>IFERROR(VLOOKUP(A75,Productos!$A:$C,3,0),"")</f>
        <v>Energía</v>
      </c>
      <c r="D75" s="110">
        <f>IFERROR(VLOOKUP(A75,Productos!$A:$D,4,0),"")</f>
        <v>20</v>
      </c>
      <c r="E75" s="110">
        <f>IFERROR(VLOOKUP(A75,Productos!$A:$E,5,0),"")</f>
        <v>50</v>
      </c>
      <c r="F75" s="30">
        <f>SUMIF(Ventas!$B:$B,A75,Ventas!$D:$D)</f>
        <v>4</v>
      </c>
      <c r="G75" s="110">
        <f t="shared" si="8"/>
        <v>200</v>
      </c>
      <c r="H75" s="110">
        <f t="shared" si="9"/>
        <v>80</v>
      </c>
      <c r="I75" s="110">
        <f t="shared" si="10"/>
        <v>120</v>
      </c>
      <c r="J75" s="35">
        <f t="shared" si="11"/>
        <v>0.6</v>
      </c>
    </row>
    <row r="76" spans="1:10" ht="18" customHeight="1" x14ac:dyDescent="0.25">
      <c r="A76" s="16" t="s">
        <v>208</v>
      </c>
      <c r="B76" s="17" t="str">
        <f>IFERROR(VLOOKUP(A76,Productos!$A:$B,2,0),"")</f>
        <v>Cargador USB-C</v>
      </c>
      <c r="C76" s="18" t="str">
        <f>IFERROR(VLOOKUP(A76,Productos!$A:$C,3,0),"")</f>
        <v>Energía</v>
      </c>
      <c r="D76" s="109">
        <f>IFERROR(VLOOKUP(A76,Productos!$A:$D,4,0),"")</f>
        <v>11</v>
      </c>
      <c r="E76" s="109">
        <f>IFERROR(VLOOKUP(A76,Productos!$A:$E,5,0),"")</f>
        <v>30</v>
      </c>
      <c r="F76" s="27">
        <f>SUMIF(Ventas!$B:$B,A76,Ventas!$D:$D)</f>
        <v>4</v>
      </c>
      <c r="G76" s="109">
        <f t="shared" si="8"/>
        <v>120</v>
      </c>
      <c r="H76" s="109">
        <f t="shared" si="9"/>
        <v>44</v>
      </c>
      <c r="I76" s="109">
        <f t="shared" si="10"/>
        <v>76</v>
      </c>
      <c r="J76" s="34">
        <f t="shared" si="11"/>
        <v>0.6333333333333333</v>
      </c>
    </row>
    <row r="77" spans="1:10" ht="18" customHeight="1" x14ac:dyDescent="0.25">
      <c r="A77" s="20" t="s">
        <v>210</v>
      </c>
      <c r="B77" s="21" t="str">
        <f>IFERROR(VLOOKUP(A77,Productos!$A:$B,2,0),"")</f>
        <v>Cargador Laptop</v>
      </c>
      <c r="C77" s="22" t="str">
        <f>IFERROR(VLOOKUP(A77,Productos!$A:$C,3,0),"")</f>
        <v>Energía</v>
      </c>
      <c r="D77" s="110">
        <f>IFERROR(VLOOKUP(A77,Productos!$A:$D,4,0),"")</f>
        <v>25</v>
      </c>
      <c r="E77" s="110">
        <f>IFERROR(VLOOKUP(A77,Productos!$A:$E,5,0),"")</f>
        <v>60</v>
      </c>
      <c r="F77" s="30">
        <f>SUMIF(Ventas!$B:$B,A77,Ventas!$D:$D)</f>
        <v>3</v>
      </c>
      <c r="G77" s="110">
        <f t="shared" si="8"/>
        <v>180</v>
      </c>
      <c r="H77" s="110">
        <f t="shared" si="9"/>
        <v>75</v>
      </c>
      <c r="I77" s="110">
        <f t="shared" si="10"/>
        <v>105</v>
      </c>
      <c r="J77" s="35">
        <f t="shared" si="11"/>
        <v>0.58333333333333337</v>
      </c>
    </row>
    <row r="78" spans="1:10" ht="18" customHeight="1" x14ac:dyDescent="0.25">
      <c r="A78" s="16" t="s">
        <v>212</v>
      </c>
      <c r="B78" s="17" t="str">
        <f>IFERROR(VLOOKUP(A78,Productos!$A:$B,2,0),"")</f>
        <v>Regleta Protección</v>
      </c>
      <c r="C78" s="18" t="str">
        <f>IFERROR(VLOOKUP(A78,Productos!$A:$C,3,0),"")</f>
        <v>Energía</v>
      </c>
      <c r="D78" s="109">
        <f>IFERROR(VLOOKUP(A78,Productos!$A:$D,4,0),"")</f>
        <v>9</v>
      </c>
      <c r="E78" s="109">
        <f>IFERROR(VLOOKUP(A78,Productos!$A:$E,5,0),"")</f>
        <v>25</v>
      </c>
      <c r="F78" s="27">
        <f>SUMIF(Ventas!$B:$B,A78,Ventas!$D:$D)</f>
        <v>4</v>
      </c>
      <c r="G78" s="109">
        <f t="shared" si="8"/>
        <v>100</v>
      </c>
      <c r="H78" s="109">
        <f t="shared" si="9"/>
        <v>36</v>
      </c>
      <c r="I78" s="109">
        <f t="shared" si="10"/>
        <v>64</v>
      </c>
      <c r="J78" s="34">
        <f t="shared" si="11"/>
        <v>0.64</v>
      </c>
    </row>
    <row r="79" spans="1:10" ht="18" customHeight="1" x14ac:dyDescent="0.25">
      <c r="A79" s="20" t="s">
        <v>214</v>
      </c>
      <c r="B79" s="21" t="str">
        <f>IFERROR(VLOOKUP(A79,Productos!$A:$B,2,0),"")</f>
        <v>Cámara Seguridad</v>
      </c>
      <c r="C79" s="22" t="str">
        <f>IFERROR(VLOOKUP(A79,Productos!$A:$C,3,0),"")</f>
        <v>Seguridad</v>
      </c>
      <c r="D79" s="110">
        <f>IFERROR(VLOOKUP(A79,Productos!$A:$D,4,0),"")</f>
        <v>35</v>
      </c>
      <c r="E79" s="110">
        <f>IFERROR(VLOOKUP(A79,Productos!$A:$E,5,0),"")</f>
        <v>85</v>
      </c>
      <c r="F79" s="30">
        <f>SUMIF(Ventas!$B:$B,A79,Ventas!$D:$D)</f>
        <v>2</v>
      </c>
      <c r="G79" s="110">
        <f t="shared" si="8"/>
        <v>170</v>
      </c>
      <c r="H79" s="110">
        <f t="shared" si="9"/>
        <v>70</v>
      </c>
      <c r="I79" s="110">
        <f t="shared" si="10"/>
        <v>100</v>
      </c>
      <c r="J79" s="35">
        <f t="shared" si="11"/>
        <v>0.58823529411764708</v>
      </c>
    </row>
    <row r="80" spans="1:10" ht="18" customHeight="1" x14ac:dyDescent="0.25">
      <c r="A80" s="16" t="s">
        <v>217</v>
      </c>
      <c r="B80" s="17" t="str">
        <f>IFERROR(VLOOKUP(A80,Productos!$A:$B,2,0),"")</f>
        <v>Cámara WiFi Pro</v>
      </c>
      <c r="C80" s="18" t="str">
        <f>IFERROR(VLOOKUP(A80,Productos!$A:$C,3,0),"")</f>
        <v>Seguridad</v>
      </c>
      <c r="D80" s="109">
        <f>IFERROR(VLOOKUP(A80,Productos!$A:$D,4,0),"")</f>
        <v>60</v>
      </c>
      <c r="E80" s="109">
        <f>IFERROR(VLOOKUP(A80,Productos!$A:$E,5,0),"")</f>
        <v>135</v>
      </c>
      <c r="F80" s="27">
        <f>SUMIF(Ventas!$B:$B,A80,Ventas!$D:$D)</f>
        <v>1</v>
      </c>
      <c r="G80" s="109">
        <f t="shared" si="8"/>
        <v>135</v>
      </c>
      <c r="H80" s="109">
        <f t="shared" si="9"/>
        <v>60</v>
      </c>
      <c r="I80" s="109">
        <f t="shared" si="10"/>
        <v>75</v>
      </c>
      <c r="J80" s="34">
        <f t="shared" si="11"/>
        <v>0.55555555555555558</v>
      </c>
    </row>
    <row r="81" spans="1:10" ht="18" customHeight="1" x14ac:dyDescent="0.25">
      <c r="A81" s="20" t="s">
        <v>219</v>
      </c>
      <c r="B81" s="21" t="str">
        <f>IFERROR(VLOOKUP(A81,Productos!$A:$B,2,0),"")</f>
        <v>Sensor Movimiento</v>
      </c>
      <c r="C81" s="22" t="str">
        <f>IFERROR(VLOOKUP(A81,Productos!$A:$C,3,0),"")</f>
        <v>Seguridad</v>
      </c>
      <c r="D81" s="110">
        <f>IFERROR(VLOOKUP(A81,Productos!$A:$D,4,0),"")</f>
        <v>18</v>
      </c>
      <c r="E81" s="110">
        <f>IFERROR(VLOOKUP(A81,Productos!$A:$E,5,0),"")</f>
        <v>45</v>
      </c>
      <c r="F81" s="30">
        <f>SUMIF(Ventas!$B:$B,A81,Ventas!$D:$D)</f>
        <v>2</v>
      </c>
      <c r="G81" s="110">
        <f t="shared" si="8"/>
        <v>90</v>
      </c>
      <c r="H81" s="110">
        <f t="shared" si="9"/>
        <v>36</v>
      </c>
      <c r="I81" s="110">
        <f t="shared" si="10"/>
        <v>54</v>
      </c>
      <c r="J81" s="35">
        <f t="shared" si="11"/>
        <v>0.6</v>
      </c>
    </row>
    <row r="82" spans="1:10" ht="18" customHeight="1" x14ac:dyDescent="0.25">
      <c r="A82" s="16" t="s">
        <v>221</v>
      </c>
      <c r="B82" s="17" t="str">
        <f>IFERROR(VLOOKUP(A82,Productos!$A:$B,2,0),"")</f>
        <v>Timbre Inteligente</v>
      </c>
      <c r="C82" s="18" t="str">
        <f>IFERROR(VLOOKUP(A82,Productos!$A:$C,3,0),"")</f>
        <v>Seguridad</v>
      </c>
      <c r="D82" s="109">
        <f>IFERROR(VLOOKUP(A82,Productos!$A:$D,4,0),"")</f>
        <v>45</v>
      </c>
      <c r="E82" s="109">
        <f>IFERROR(VLOOKUP(A82,Productos!$A:$E,5,0),"")</f>
        <v>110</v>
      </c>
      <c r="F82" s="27">
        <f>SUMIF(Ventas!$B:$B,A82,Ventas!$D:$D)</f>
        <v>2</v>
      </c>
      <c r="G82" s="109">
        <f t="shared" si="8"/>
        <v>220</v>
      </c>
      <c r="H82" s="109">
        <f t="shared" si="9"/>
        <v>90</v>
      </c>
      <c r="I82" s="109">
        <f t="shared" si="10"/>
        <v>130</v>
      </c>
      <c r="J82" s="34">
        <f t="shared" si="11"/>
        <v>0.59090909090909094</v>
      </c>
    </row>
    <row r="83" spans="1:10" ht="18" customHeight="1" x14ac:dyDescent="0.25">
      <c r="A83" s="20" t="s">
        <v>223</v>
      </c>
      <c r="B83" s="21" t="str">
        <f>IFERROR(VLOOKUP(A83,Productos!$A:$B,2,0),"")</f>
        <v>Kit Seguridad Hogar</v>
      </c>
      <c r="C83" s="22" t="str">
        <f>IFERROR(VLOOKUP(A83,Productos!$A:$C,3,0),"")</f>
        <v>Seguridad</v>
      </c>
      <c r="D83" s="110">
        <f>IFERROR(VLOOKUP(A83,Productos!$A:$D,4,0),"")</f>
        <v>95</v>
      </c>
      <c r="E83" s="110">
        <f>IFERROR(VLOOKUP(A83,Productos!$A:$E,5,0),"")</f>
        <v>210</v>
      </c>
      <c r="F83" s="30">
        <f>SUMIF(Ventas!$B:$B,A83,Ventas!$D:$D)</f>
        <v>1</v>
      </c>
      <c r="G83" s="110">
        <f t="shared" si="8"/>
        <v>210</v>
      </c>
      <c r="H83" s="110">
        <f t="shared" si="9"/>
        <v>95</v>
      </c>
      <c r="I83" s="110">
        <f t="shared" si="10"/>
        <v>115</v>
      </c>
      <c r="J83" s="35">
        <f t="shared" si="11"/>
        <v>0.54761904761904767</v>
      </c>
    </row>
    <row r="84" spans="1:10" ht="18" customHeight="1" x14ac:dyDescent="0.25">
      <c r="A84" s="16" t="s">
        <v>225</v>
      </c>
      <c r="B84" s="17" t="str">
        <f>IFERROR(VLOOKUP(A84,Productos!$A:$B,2,0),"")</f>
        <v>Smartwatch Lite</v>
      </c>
      <c r="C84" s="18" t="str">
        <f>IFERROR(VLOOKUP(A84,Productos!$A:$C,3,0),"")</f>
        <v>Wearables</v>
      </c>
      <c r="D84" s="109">
        <f>IFERROR(VLOOKUP(A84,Productos!$A:$D,4,0),"")</f>
        <v>42</v>
      </c>
      <c r="E84" s="109">
        <f>IFERROR(VLOOKUP(A84,Productos!$A:$E,5,0),"")</f>
        <v>95</v>
      </c>
      <c r="F84" s="27">
        <f>SUMIF(Ventas!$B:$B,A84,Ventas!$D:$D)</f>
        <v>3</v>
      </c>
      <c r="G84" s="109">
        <f t="shared" si="8"/>
        <v>285</v>
      </c>
      <c r="H84" s="109">
        <f t="shared" si="9"/>
        <v>126</v>
      </c>
      <c r="I84" s="109">
        <f t="shared" si="10"/>
        <v>159</v>
      </c>
      <c r="J84" s="34">
        <f t="shared" si="11"/>
        <v>0.55789473684210522</v>
      </c>
    </row>
    <row r="85" spans="1:10" ht="18" customHeight="1" x14ac:dyDescent="0.25">
      <c r="A85" s="20" t="s">
        <v>228</v>
      </c>
      <c r="B85" s="21" t="str">
        <f>IFERROR(VLOOKUP(A85,Productos!$A:$B,2,0),"")</f>
        <v>Smartwatch Pro</v>
      </c>
      <c r="C85" s="22" t="str">
        <f>IFERROR(VLOOKUP(A85,Productos!$A:$C,3,0),"")</f>
        <v>Wearables</v>
      </c>
      <c r="D85" s="110">
        <f>IFERROR(VLOOKUP(A85,Productos!$A:$D,4,0),"")</f>
        <v>85</v>
      </c>
      <c r="E85" s="110">
        <f>IFERROR(VLOOKUP(A85,Productos!$A:$E,5,0),"")</f>
        <v>180</v>
      </c>
      <c r="F85" s="30">
        <f>SUMIF(Ventas!$B:$B,A85,Ventas!$D:$D)</f>
        <v>2</v>
      </c>
      <c r="G85" s="110">
        <f t="shared" si="8"/>
        <v>360</v>
      </c>
      <c r="H85" s="110">
        <f t="shared" si="9"/>
        <v>170</v>
      </c>
      <c r="I85" s="110">
        <f t="shared" si="10"/>
        <v>190</v>
      </c>
      <c r="J85" s="35">
        <f t="shared" si="11"/>
        <v>0.52777777777777779</v>
      </c>
    </row>
    <row r="86" spans="1:10" ht="18" customHeight="1" x14ac:dyDescent="0.25">
      <c r="A86" s="16" t="s">
        <v>230</v>
      </c>
      <c r="B86" s="17" t="str">
        <f>IFERROR(VLOOKUP(A86,Productos!$A:$B,2,0),"")</f>
        <v>Smartband Fit</v>
      </c>
      <c r="C86" s="18" t="str">
        <f>IFERROR(VLOOKUP(A86,Productos!$A:$C,3,0),"")</f>
        <v>Wearables</v>
      </c>
      <c r="D86" s="109">
        <f>IFERROR(VLOOKUP(A86,Productos!$A:$D,4,0),"")</f>
        <v>28</v>
      </c>
      <c r="E86" s="109">
        <f>IFERROR(VLOOKUP(A86,Productos!$A:$E,5,0),"")</f>
        <v>65</v>
      </c>
      <c r="F86" s="27">
        <f>SUMIF(Ventas!$B:$B,A86,Ventas!$D:$D)</f>
        <v>2</v>
      </c>
      <c r="G86" s="109">
        <f t="shared" si="8"/>
        <v>130</v>
      </c>
      <c r="H86" s="109">
        <f t="shared" si="9"/>
        <v>56</v>
      </c>
      <c r="I86" s="109">
        <f t="shared" si="10"/>
        <v>74</v>
      </c>
      <c r="J86" s="34">
        <f t="shared" si="11"/>
        <v>0.56923076923076921</v>
      </c>
    </row>
    <row r="87" spans="1:10" ht="18" customHeight="1" x14ac:dyDescent="0.25">
      <c r="A87" s="20" t="s">
        <v>232</v>
      </c>
      <c r="B87" s="21" t="str">
        <f>IFERROR(VLOOKUP(A87,Productos!$A:$B,2,0),"")</f>
        <v>Smartwatch Sport</v>
      </c>
      <c r="C87" s="22" t="str">
        <f>IFERROR(VLOOKUP(A87,Productos!$A:$C,3,0),"")</f>
        <v>Wearables</v>
      </c>
      <c r="D87" s="110">
        <f>IFERROR(VLOOKUP(A87,Productos!$A:$D,4,0),"")</f>
        <v>70</v>
      </c>
      <c r="E87" s="110">
        <f>IFERROR(VLOOKUP(A87,Productos!$A:$E,5,0),"")</f>
        <v>150</v>
      </c>
      <c r="F87" s="30">
        <f>SUMIF(Ventas!$B:$B,A87,Ventas!$D:$D)</f>
        <v>2</v>
      </c>
      <c r="G87" s="110">
        <f t="shared" si="8"/>
        <v>300</v>
      </c>
      <c r="H87" s="110">
        <f t="shared" si="9"/>
        <v>140</v>
      </c>
      <c r="I87" s="110">
        <f t="shared" si="10"/>
        <v>160</v>
      </c>
      <c r="J87" s="35">
        <f t="shared" si="11"/>
        <v>0.53333333333333333</v>
      </c>
    </row>
    <row r="88" spans="1:10" ht="18" customHeight="1" x14ac:dyDescent="0.25">
      <c r="A88" s="16" t="s">
        <v>234</v>
      </c>
      <c r="B88" s="17" t="str">
        <f>IFERROR(VLOOKUP(A88,Productos!$A:$B,2,0),"")</f>
        <v>Smartwatch Ultra</v>
      </c>
      <c r="C88" s="18" t="str">
        <f>IFERROR(VLOOKUP(A88,Productos!$A:$C,3,0),"")</f>
        <v>Wearables</v>
      </c>
      <c r="D88" s="109">
        <f>IFERROR(VLOOKUP(A88,Productos!$A:$D,4,0),"")</f>
        <v>110</v>
      </c>
      <c r="E88" s="109">
        <f>IFERROR(VLOOKUP(A88,Productos!$A:$E,5,0),"")</f>
        <v>240</v>
      </c>
      <c r="F88" s="27">
        <f>SUMIF(Ventas!$B:$B,A88,Ventas!$D:$D)</f>
        <v>2</v>
      </c>
      <c r="G88" s="109">
        <f t="shared" si="8"/>
        <v>480</v>
      </c>
      <c r="H88" s="109">
        <f t="shared" si="9"/>
        <v>220</v>
      </c>
      <c r="I88" s="109">
        <f t="shared" si="10"/>
        <v>260</v>
      </c>
      <c r="J88" s="34">
        <f t="shared" si="11"/>
        <v>0.54166666666666663</v>
      </c>
    </row>
    <row r="89" spans="1:10" ht="18" customHeight="1" x14ac:dyDescent="0.25">
      <c r="A89" s="20" t="s">
        <v>236</v>
      </c>
      <c r="B89" s="21" t="str">
        <f>IFERROR(VLOOKUP(A89,Productos!$A:$B,2,0),"")</f>
        <v>Lámpara LED Desk</v>
      </c>
      <c r="C89" s="22" t="str">
        <f>IFERROR(VLOOKUP(A89,Productos!$A:$C,3,0),"")</f>
        <v>Iluminación</v>
      </c>
      <c r="D89" s="110">
        <f>IFERROR(VLOOKUP(A89,Productos!$A:$D,4,0),"")</f>
        <v>12</v>
      </c>
      <c r="E89" s="110">
        <f>IFERROR(VLOOKUP(A89,Productos!$A:$E,5,0),"")</f>
        <v>35</v>
      </c>
      <c r="F89" s="30">
        <f>SUMIF(Ventas!$B:$B,A89,Ventas!$D:$D)</f>
        <v>3</v>
      </c>
      <c r="G89" s="110">
        <f t="shared" si="8"/>
        <v>105</v>
      </c>
      <c r="H89" s="110">
        <f t="shared" si="9"/>
        <v>36</v>
      </c>
      <c r="I89" s="110">
        <f t="shared" si="10"/>
        <v>69</v>
      </c>
      <c r="J89" s="35">
        <f t="shared" si="11"/>
        <v>0.65714285714285714</v>
      </c>
    </row>
    <row r="90" spans="1:10" ht="18" customHeight="1" x14ac:dyDescent="0.25">
      <c r="A90" s="16" t="s">
        <v>239</v>
      </c>
      <c r="B90" s="17" t="str">
        <f>IFERROR(VLOOKUP(A90,Productos!$A:$B,2,0),"")</f>
        <v>Lámpara RGB</v>
      </c>
      <c r="C90" s="18" t="str">
        <f>IFERROR(VLOOKUP(A90,Productos!$A:$C,3,0),"")</f>
        <v>Iluminación</v>
      </c>
      <c r="D90" s="109">
        <f>IFERROR(VLOOKUP(A90,Productos!$A:$D,4,0),"")</f>
        <v>20</v>
      </c>
      <c r="E90" s="109">
        <f>IFERROR(VLOOKUP(A90,Productos!$A:$E,5,0),"")</f>
        <v>50</v>
      </c>
      <c r="F90" s="27">
        <f>SUMIF(Ventas!$B:$B,A90,Ventas!$D:$D)</f>
        <v>3</v>
      </c>
      <c r="G90" s="109">
        <f t="shared" si="8"/>
        <v>150</v>
      </c>
      <c r="H90" s="109">
        <f t="shared" si="9"/>
        <v>60</v>
      </c>
      <c r="I90" s="109">
        <f t="shared" si="10"/>
        <v>90</v>
      </c>
      <c r="J90" s="34">
        <f t="shared" si="11"/>
        <v>0.6</v>
      </c>
    </row>
    <row r="91" spans="1:10" ht="18" customHeight="1" x14ac:dyDescent="0.25">
      <c r="A91" s="20" t="s">
        <v>241</v>
      </c>
      <c r="B91" s="21" t="str">
        <f>IFERROR(VLOOKUP(A91,Productos!$A:$B,2,0),"")</f>
        <v>Lámpara Monitor</v>
      </c>
      <c r="C91" s="22" t="str">
        <f>IFERROR(VLOOKUP(A91,Productos!$A:$C,3,0),"")</f>
        <v>Iluminación</v>
      </c>
      <c r="D91" s="110">
        <f>IFERROR(VLOOKUP(A91,Productos!$A:$D,4,0),"")</f>
        <v>18</v>
      </c>
      <c r="E91" s="110">
        <f>IFERROR(VLOOKUP(A91,Productos!$A:$E,5,0),"")</f>
        <v>45</v>
      </c>
      <c r="F91" s="30">
        <f>SUMIF(Ventas!$B:$B,A91,Ventas!$D:$D)</f>
        <v>2</v>
      </c>
      <c r="G91" s="110">
        <f t="shared" si="8"/>
        <v>90</v>
      </c>
      <c r="H91" s="110">
        <f t="shared" si="9"/>
        <v>36</v>
      </c>
      <c r="I91" s="110">
        <f t="shared" si="10"/>
        <v>54</v>
      </c>
      <c r="J91" s="35">
        <f t="shared" si="11"/>
        <v>0.6</v>
      </c>
    </row>
    <row r="92" spans="1:10" ht="18" customHeight="1" x14ac:dyDescent="0.25">
      <c r="A92" s="16" t="s">
        <v>243</v>
      </c>
      <c r="B92" s="17" t="str">
        <f>IFERROR(VLOOKUP(A92,Productos!$A:$B,2,0),"")</f>
        <v>Luz Ambiente RGB</v>
      </c>
      <c r="C92" s="18" t="str">
        <f>IFERROR(VLOOKUP(A92,Productos!$A:$C,3,0),"")</f>
        <v>Iluminación</v>
      </c>
      <c r="D92" s="109">
        <f>IFERROR(VLOOKUP(A92,Productos!$A:$D,4,0),"")</f>
        <v>25</v>
      </c>
      <c r="E92" s="109">
        <f>IFERROR(VLOOKUP(A92,Productos!$A:$E,5,0),"")</f>
        <v>60</v>
      </c>
      <c r="F92" s="27">
        <f>SUMIF(Ventas!$B:$B,A92,Ventas!$D:$D)</f>
        <v>2</v>
      </c>
      <c r="G92" s="109">
        <f t="shared" si="8"/>
        <v>120</v>
      </c>
      <c r="H92" s="109">
        <f t="shared" si="9"/>
        <v>50</v>
      </c>
      <c r="I92" s="109">
        <f t="shared" si="10"/>
        <v>70</v>
      </c>
      <c r="J92" s="34">
        <f t="shared" si="11"/>
        <v>0.58333333333333337</v>
      </c>
    </row>
    <row r="93" spans="1:10" ht="18" customHeight="1" x14ac:dyDescent="0.25">
      <c r="A93" s="20" t="s">
        <v>245</v>
      </c>
      <c r="B93" s="21" t="str">
        <f>IFERROR(VLOOKUP(A93,Productos!$A:$B,2,0),"")</f>
        <v>Panel LED Studio</v>
      </c>
      <c r="C93" s="22" t="str">
        <f>IFERROR(VLOOKUP(A93,Productos!$A:$C,3,0),"")</f>
        <v>Iluminación</v>
      </c>
      <c r="D93" s="110">
        <f>IFERROR(VLOOKUP(A93,Productos!$A:$D,4,0),"")</f>
        <v>55</v>
      </c>
      <c r="E93" s="110">
        <f>IFERROR(VLOOKUP(A93,Productos!$A:$E,5,0),"")</f>
        <v>120</v>
      </c>
      <c r="F93" s="30">
        <f>SUMIF(Ventas!$B:$B,A93,Ventas!$D:$D)</f>
        <v>2</v>
      </c>
      <c r="G93" s="110">
        <f t="shared" si="8"/>
        <v>240</v>
      </c>
      <c r="H93" s="110">
        <f t="shared" si="9"/>
        <v>110</v>
      </c>
      <c r="I93" s="110">
        <f t="shared" si="10"/>
        <v>130</v>
      </c>
      <c r="J93" s="35">
        <f t="shared" si="11"/>
        <v>0.54166666666666663</v>
      </c>
    </row>
    <row r="94" spans="1:10" ht="18" customHeight="1" x14ac:dyDescent="0.25">
      <c r="A94" s="16" t="s">
        <v>247</v>
      </c>
      <c r="B94" s="17" t="str">
        <f>IFERROR(VLOOKUP(A94,Productos!$A:$B,2,0),"")</f>
        <v>Micrófono USB</v>
      </c>
      <c r="C94" s="18" t="str">
        <f>IFERROR(VLOOKUP(A94,Productos!$A:$C,3,0),"")</f>
        <v>Streaming</v>
      </c>
      <c r="D94" s="109">
        <f>IFERROR(VLOOKUP(A94,Productos!$A:$D,4,0),"")</f>
        <v>32</v>
      </c>
      <c r="E94" s="109">
        <f>IFERROR(VLOOKUP(A94,Productos!$A:$E,5,0),"")</f>
        <v>75</v>
      </c>
      <c r="F94" s="27">
        <f>SUMIF(Ventas!$B:$B,A94,Ventas!$D:$D)</f>
        <v>2</v>
      </c>
      <c r="G94" s="109">
        <f t="shared" si="8"/>
        <v>150</v>
      </c>
      <c r="H94" s="109">
        <f t="shared" si="9"/>
        <v>64</v>
      </c>
      <c r="I94" s="109">
        <f t="shared" si="10"/>
        <v>86</v>
      </c>
      <c r="J94" s="34">
        <f t="shared" si="11"/>
        <v>0.57333333333333336</v>
      </c>
    </row>
    <row r="95" spans="1:10" ht="18" customHeight="1" x14ac:dyDescent="0.25">
      <c r="A95" s="20" t="s">
        <v>250</v>
      </c>
      <c r="B95" s="21" t="str">
        <f>IFERROR(VLOOKUP(A95,Productos!$A:$B,2,0),"")</f>
        <v>Micrófono Pro</v>
      </c>
      <c r="C95" s="22" t="str">
        <f>IFERROR(VLOOKUP(A95,Productos!$A:$C,3,0),"")</f>
        <v>Streaming</v>
      </c>
      <c r="D95" s="110">
        <f>IFERROR(VLOOKUP(A95,Productos!$A:$D,4,0),"")</f>
        <v>70</v>
      </c>
      <c r="E95" s="110">
        <f>IFERROR(VLOOKUP(A95,Productos!$A:$E,5,0),"")</f>
        <v>150</v>
      </c>
      <c r="F95" s="30">
        <f>SUMIF(Ventas!$B:$B,A95,Ventas!$D:$D)</f>
        <v>1</v>
      </c>
      <c r="G95" s="110">
        <f t="shared" si="8"/>
        <v>150</v>
      </c>
      <c r="H95" s="110">
        <f t="shared" si="9"/>
        <v>70</v>
      </c>
      <c r="I95" s="110">
        <f t="shared" si="10"/>
        <v>80</v>
      </c>
      <c r="J95" s="35">
        <f t="shared" si="11"/>
        <v>0.53333333333333333</v>
      </c>
    </row>
    <row r="96" spans="1:10" ht="18" customHeight="1" x14ac:dyDescent="0.25">
      <c r="A96" s="16" t="s">
        <v>252</v>
      </c>
      <c r="B96" s="17" t="str">
        <f>IFERROR(VLOOKUP(A96,Productos!$A:$B,2,0),"")</f>
        <v>Brazo Micrófono</v>
      </c>
      <c r="C96" s="18" t="str">
        <f>IFERROR(VLOOKUP(A96,Productos!$A:$C,3,0),"")</f>
        <v>Streaming</v>
      </c>
      <c r="D96" s="109">
        <f>IFERROR(VLOOKUP(A96,Productos!$A:$D,4,0),"")</f>
        <v>18</v>
      </c>
      <c r="E96" s="109">
        <f>IFERROR(VLOOKUP(A96,Productos!$A:$E,5,0),"")</f>
        <v>48</v>
      </c>
      <c r="F96" s="27">
        <f>SUMIF(Ventas!$B:$B,A96,Ventas!$D:$D)</f>
        <v>1</v>
      </c>
      <c r="G96" s="109">
        <f t="shared" si="8"/>
        <v>48</v>
      </c>
      <c r="H96" s="109">
        <f t="shared" si="9"/>
        <v>18</v>
      </c>
      <c r="I96" s="109">
        <f t="shared" si="10"/>
        <v>30</v>
      </c>
      <c r="J96" s="34">
        <f t="shared" si="11"/>
        <v>0.625</v>
      </c>
    </row>
    <row r="97" spans="1:10" ht="18" customHeight="1" x14ac:dyDescent="0.25">
      <c r="A97" s="20" t="s">
        <v>254</v>
      </c>
      <c r="B97" s="21" t="str">
        <f>IFERROR(VLOOKUP(A97,Productos!$A:$B,2,0),"")</f>
        <v>Kit Streaming</v>
      </c>
      <c r="C97" s="22" t="str">
        <f>IFERROR(VLOOKUP(A97,Productos!$A:$C,3,0),"")</f>
        <v>Streaming</v>
      </c>
      <c r="D97" s="110">
        <f>IFERROR(VLOOKUP(A97,Productos!$A:$D,4,0),"")</f>
        <v>95</v>
      </c>
      <c r="E97" s="110">
        <f>IFERROR(VLOOKUP(A97,Productos!$A:$E,5,0),"")</f>
        <v>210</v>
      </c>
      <c r="F97" s="30">
        <f>SUMIF(Ventas!$B:$B,A97,Ventas!$D:$D)</f>
        <v>1</v>
      </c>
      <c r="G97" s="110">
        <f t="shared" si="8"/>
        <v>210</v>
      </c>
      <c r="H97" s="110">
        <f t="shared" si="9"/>
        <v>95</v>
      </c>
      <c r="I97" s="110">
        <f t="shared" si="10"/>
        <v>115</v>
      </c>
      <c r="J97" s="35">
        <f t="shared" si="11"/>
        <v>0.54761904761904767</v>
      </c>
    </row>
    <row r="98" spans="1:10" ht="18" customHeight="1" x14ac:dyDescent="0.25">
      <c r="A98" s="16" t="s">
        <v>256</v>
      </c>
      <c r="B98" s="17" t="str">
        <f>IFERROR(VLOOKUP(A98,Productos!$A:$B,2,0),"")</f>
        <v>Capturadora Video</v>
      </c>
      <c r="C98" s="18" t="str">
        <f>IFERROR(VLOOKUP(A98,Productos!$A:$C,3,0),"")</f>
        <v>Streaming</v>
      </c>
      <c r="D98" s="109">
        <f>IFERROR(VLOOKUP(A98,Productos!$A:$D,4,0),"")</f>
        <v>85</v>
      </c>
      <c r="E98" s="109">
        <f>IFERROR(VLOOKUP(A98,Productos!$A:$E,5,0),"")</f>
        <v>175</v>
      </c>
      <c r="F98" s="27">
        <f>SUMIF(Ventas!$B:$B,A98,Ventas!$D:$D)</f>
        <v>1</v>
      </c>
      <c r="G98" s="109">
        <f t="shared" si="8"/>
        <v>175</v>
      </c>
      <c r="H98" s="109">
        <f t="shared" si="9"/>
        <v>85</v>
      </c>
      <c r="I98" s="109">
        <f t="shared" si="10"/>
        <v>90</v>
      </c>
      <c r="J98" s="34">
        <f t="shared" si="11"/>
        <v>0.51428571428571423</v>
      </c>
    </row>
    <row r="99" spans="1:10" ht="18" customHeight="1" x14ac:dyDescent="0.25">
      <c r="A99" s="20" t="s">
        <v>258</v>
      </c>
      <c r="B99" s="21" t="str">
        <f>IFERROR(VLOOKUP(A99,Productos!$A:$B,2,0),"")</f>
        <v>Tarjeta Gráfica Mini</v>
      </c>
      <c r="C99" s="22" t="str">
        <f>IFERROR(VLOOKUP(A99,Productos!$A:$C,3,0),"")</f>
        <v>Componentes</v>
      </c>
      <c r="D99" s="110">
        <f>IFERROR(VLOOKUP(A99,Productos!$A:$D,4,0),"")</f>
        <v>180</v>
      </c>
      <c r="E99" s="110">
        <f>IFERROR(VLOOKUP(A99,Productos!$A:$E,5,0),"")</f>
        <v>310</v>
      </c>
      <c r="F99" s="30">
        <f>SUMIF(Ventas!$B:$B,A99,Ventas!$D:$D)</f>
        <v>1</v>
      </c>
      <c r="G99" s="110">
        <f t="shared" si="8"/>
        <v>310</v>
      </c>
      <c r="H99" s="110">
        <f t="shared" si="9"/>
        <v>180</v>
      </c>
      <c r="I99" s="110">
        <f t="shared" si="10"/>
        <v>130</v>
      </c>
      <c r="J99" s="35">
        <f t="shared" si="11"/>
        <v>0.41935483870967744</v>
      </c>
    </row>
    <row r="100" spans="1:10" ht="18" customHeight="1" x14ac:dyDescent="0.25">
      <c r="A100" s="16" t="s">
        <v>260</v>
      </c>
      <c r="B100" s="17" t="str">
        <f>IFERROR(VLOOKUP(A100,Productos!$A:$B,2,0),"")</f>
        <v>Tarjeta Gráfica Pro</v>
      </c>
      <c r="C100" s="18" t="str">
        <f>IFERROR(VLOOKUP(A100,Productos!$A:$C,3,0),"")</f>
        <v>Componentes</v>
      </c>
      <c r="D100" s="109">
        <f>IFERROR(VLOOKUP(A100,Productos!$A:$D,4,0),"")</f>
        <v>320</v>
      </c>
      <c r="E100" s="109">
        <f>IFERROR(VLOOKUP(A100,Productos!$A:$E,5,0),"")</f>
        <v>520</v>
      </c>
      <c r="F100" s="27">
        <f>SUMIF(Ventas!$B:$B,A100,Ventas!$D:$D)</f>
        <v>1</v>
      </c>
      <c r="G100" s="109">
        <f t="shared" ref="G100:G103" si="12">IFERROR(F100*E100,0)</f>
        <v>520</v>
      </c>
      <c r="H100" s="109">
        <f t="shared" si="9"/>
        <v>320</v>
      </c>
      <c r="I100" s="109">
        <f t="shared" ref="I100:I103" si="13">IFERROR(G100-H100,0)</f>
        <v>200</v>
      </c>
      <c r="J100" s="34">
        <f t="shared" si="11"/>
        <v>0.38461538461538464</v>
      </c>
    </row>
    <row r="101" spans="1:10" ht="18" customHeight="1" x14ac:dyDescent="0.25">
      <c r="A101" s="20" t="s">
        <v>262</v>
      </c>
      <c r="B101" s="21" t="str">
        <f>IFERROR(VLOOKUP(A101,Productos!$A:$B,2,0),"")</f>
        <v>Memoria RAM 16GB</v>
      </c>
      <c r="C101" s="22" t="str">
        <f>IFERROR(VLOOKUP(A101,Productos!$A:$C,3,0),"")</f>
        <v>Componentes</v>
      </c>
      <c r="D101" s="110">
        <f>IFERROR(VLOOKUP(A101,Productos!$A:$D,4,0),"")</f>
        <v>45</v>
      </c>
      <c r="E101" s="110">
        <f>IFERROR(VLOOKUP(A101,Productos!$A:$E,5,0),"")</f>
        <v>95</v>
      </c>
      <c r="F101" s="30">
        <f>SUMIF(Ventas!$B:$B,A101,Ventas!$D:$D)</f>
        <v>2</v>
      </c>
      <c r="G101" s="110">
        <f t="shared" si="12"/>
        <v>190</v>
      </c>
      <c r="H101" s="110">
        <f t="shared" si="9"/>
        <v>90</v>
      </c>
      <c r="I101" s="110">
        <f t="shared" si="13"/>
        <v>100</v>
      </c>
      <c r="J101" s="35">
        <f t="shared" si="11"/>
        <v>0.52631578947368418</v>
      </c>
    </row>
    <row r="102" spans="1:10" ht="18" customHeight="1" x14ac:dyDescent="0.25">
      <c r="A102" s="16" t="s">
        <v>264</v>
      </c>
      <c r="B102" s="17" t="str">
        <f>IFERROR(VLOOKUP(A102,Productos!$A:$B,2,0),"")</f>
        <v>Memoria RAM 32GB</v>
      </c>
      <c r="C102" s="18" t="str">
        <f>IFERROR(VLOOKUP(A102,Productos!$A:$C,3,0),"")</f>
        <v>Componentes</v>
      </c>
      <c r="D102" s="109">
        <f>IFERROR(VLOOKUP(A102,Productos!$A:$D,4,0),"")</f>
        <v>82</v>
      </c>
      <c r="E102" s="109">
        <f>IFERROR(VLOOKUP(A102,Productos!$A:$E,5,0),"")</f>
        <v>165</v>
      </c>
      <c r="F102" s="27">
        <f>SUMIF(Ventas!$B:$B,A102,Ventas!$D:$D)</f>
        <v>2</v>
      </c>
      <c r="G102" s="109">
        <f t="shared" si="12"/>
        <v>330</v>
      </c>
      <c r="H102" s="109">
        <f t="shared" si="9"/>
        <v>164</v>
      </c>
      <c r="I102" s="109">
        <f t="shared" si="13"/>
        <v>166</v>
      </c>
      <c r="J102" s="34">
        <f t="shared" si="11"/>
        <v>0.50303030303030305</v>
      </c>
    </row>
    <row r="103" spans="1:10" ht="18" customHeight="1" x14ac:dyDescent="0.25">
      <c r="A103" s="20" t="s">
        <v>266</v>
      </c>
      <c r="B103" s="21" t="str">
        <f>IFERROR(VLOOKUP(A103,Productos!$A:$B,2,0),"")</f>
        <v>Procesador CoreX</v>
      </c>
      <c r="C103" s="22" t="str">
        <f>IFERROR(VLOOKUP(A103,Productos!$A:$C,3,0),"")</f>
        <v>Componentes</v>
      </c>
      <c r="D103" s="110">
        <f>IFERROR(VLOOKUP(A103,Productos!$A:$D,4,0),"")</f>
        <v>210</v>
      </c>
      <c r="E103" s="110">
        <f>IFERROR(VLOOKUP(A103,Productos!$A:$E,5,0),"")</f>
        <v>360</v>
      </c>
      <c r="F103" s="30">
        <f>SUMIF(Ventas!$B:$B,A103,Ventas!$D:$D)</f>
        <v>1</v>
      </c>
      <c r="G103" s="110">
        <f t="shared" si="12"/>
        <v>360</v>
      </c>
      <c r="H103" s="110">
        <f t="shared" si="9"/>
        <v>210</v>
      </c>
      <c r="I103" s="110">
        <f t="shared" si="13"/>
        <v>150</v>
      </c>
      <c r="J103" s="35">
        <f t="shared" si="11"/>
        <v>0.41666666666666669</v>
      </c>
    </row>
    <row r="104" spans="1:10" ht="24.75" customHeight="1" x14ac:dyDescent="0.25">
      <c r="A104" s="76" t="s">
        <v>284</v>
      </c>
      <c r="B104" s="76"/>
      <c r="C104" s="76"/>
      <c r="D104" s="76"/>
      <c r="E104" s="76"/>
      <c r="F104" s="36">
        <f>SUM(F4:F103)</f>
        <v>254</v>
      </c>
      <c r="G104" s="112">
        <f>SUM(G4:G103)</f>
        <v>32721</v>
      </c>
      <c r="H104" s="112">
        <f>SUM(H4:H103)</f>
        <v>18070</v>
      </c>
      <c r="I104" s="112">
        <f>SUM(I4:I103)</f>
        <v>14651</v>
      </c>
      <c r="J104" s="25">
        <f t="shared" si="11"/>
        <v>0.44775526420341677</v>
      </c>
    </row>
  </sheetData>
  <mergeCells count="3">
    <mergeCell ref="A104:E104"/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FA3"/>
  </sheetPr>
  <dimension ref="A1:S59"/>
  <sheetViews>
    <sheetView showGridLines="0" tabSelected="1" topLeftCell="A5" zoomScaleNormal="100" workbookViewId="0">
      <selection activeCell="D9" sqref="D8:D9"/>
    </sheetView>
  </sheetViews>
  <sheetFormatPr baseColWidth="10" defaultColWidth="8.7109375" defaultRowHeight="15" x14ac:dyDescent="0.25"/>
  <cols>
    <col min="1" max="1" width="22" customWidth="1"/>
    <col min="2" max="4" width="18" customWidth="1"/>
  </cols>
  <sheetData>
    <row r="1" spans="1:19" ht="39.75" customHeight="1" x14ac:dyDescent="0.25">
      <c r="A1" s="114" t="s">
        <v>289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19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</row>
    <row r="3" spans="1:19" ht="15" customHeight="1" x14ac:dyDescent="0.25">
      <c r="A3" s="113" t="s">
        <v>285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</row>
    <row r="4" spans="1:19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12" t="s">
        <v>48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30" x14ac:dyDescent="0.25">
      <c r="A6" s="13" t="s">
        <v>10</v>
      </c>
      <c r="B6" s="117" t="s">
        <v>290</v>
      </c>
      <c r="C6" s="13" t="s">
        <v>12</v>
      </c>
      <c r="D6" s="13" t="s">
        <v>15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25">
      <c r="A7" s="3" t="str">
        <f>IFERROR(INDEX(Rentabilidad!$B$4:$B$103,MATCH(LARGE(Rentabilidad!$F$4:$F$103,1),Rentabilidad!$F$4:$F$103,0)),"")</f>
        <v>Mouse Office Silent</v>
      </c>
      <c r="B7" s="3">
        <f>IFERROR(LARGE(Rentabilidad!$F$4:$F$103,1),0)</f>
        <v>7</v>
      </c>
      <c r="C7" s="100">
        <f>IFERROR(INDEX(Rentabilidad!$G$4:$G$103,MATCH(LARGE(Rentabilidad!$F$4:$F$103,1),Rentabilidad!$F$4:$F$103,0)),0)</f>
        <v>210</v>
      </c>
      <c r="D7" s="100">
        <f>IFERROR(INDEX(Rentabilidad!$I$4:$I$103,MATCH(LARGE(Rentabilidad!$F$4:$F$103,1),Rentabilidad!$F$4:$F$103,0)),0)</f>
        <v>126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6" t="str">
        <f>IFERROR(INDEX(Rentabilidad!$B$4:$B$103,MATCH(LARGE(Rentabilidad!$F$4:$F$103,2),Rentabilidad!$F$4:$F$103,0)),"")</f>
        <v>Mouse Gamer RGB</v>
      </c>
      <c r="B8" s="6">
        <f>IFERROR(LARGE(Rentabilidad!$F$4:$F$103,2),0)</f>
        <v>6</v>
      </c>
      <c r="C8" s="99">
        <f>IFERROR(INDEX(Rentabilidad!$G$4:$G$103,MATCH(LARGE(Rentabilidad!$F$4:$F$103,2),Rentabilidad!$F$4:$F$103,0)),0)</f>
        <v>252</v>
      </c>
      <c r="D8" s="99">
        <f>IFERROR(INDEX(Rentabilidad!$I$4:$I$103,MATCH(LARGE(Rentabilidad!$F$4:$F$103,2),Rentabilidad!$F$4:$F$103,0)),0)</f>
        <v>144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3" t="str">
        <f>IFERROR(INDEX(Rentabilidad!$B$4:$B$103,MATCH(LARGE(Rentabilidad!$F$4:$F$103,3),Rentabilidad!$F$4:$F$103,0)),"")</f>
        <v>Mouse Gamer RGB</v>
      </c>
      <c r="B9" s="3">
        <f>IFERROR(LARGE(Rentabilidad!$F$4:$F$103,3),0)</f>
        <v>6</v>
      </c>
      <c r="C9" s="100">
        <f>IFERROR(INDEX(Rentabilidad!$G$4:$G$103,MATCH(LARGE(Rentabilidad!$F$4:$F$103,3),Rentabilidad!$F$4:$F$103,0)),0)</f>
        <v>252</v>
      </c>
      <c r="D9" s="100">
        <f>IFERROR(INDEX(Rentabilidad!$I$4:$I$103,MATCH(LARGE(Rentabilidad!$F$4:$F$103,3),Rentabilidad!$F$4:$F$103,0)),0)</f>
        <v>144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 s="6" t="str">
        <f>IFERROR(INDEX(Rentabilidad!$B$4:$B$103,MATCH(LARGE(Rentabilidad!$F$4:$F$103,4),Rentabilidad!$F$4:$F$103,0)),"")</f>
        <v>Mouse Gamer RGB</v>
      </c>
      <c r="B10" s="6">
        <f>IFERROR(LARGE(Rentabilidad!$F$4:$F$103,4),0)</f>
        <v>6</v>
      </c>
      <c r="C10" s="99">
        <f>IFERROR(INDEX(Rentabilidad!$G$4:$G$103,MATCH(LARGE(Rentabilidad!$F$4:$F$103,4),Rentabilidad!$F$4:$F$103,0)),0)</f>
        <v>252</v>
      </c>
      <c r="D10" s="99">
        <f>IFERROR(INDEX(Rentabilidad!$I$4:$I$103,MATCH(LARGE(Rentabilidad!$F$4:$F$103,4),Rentabilidad!$F$4:$F$103,0)),0)</f>
        <v>144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25">
      <c r="A11" s="3" t="str">
        <f>IFERROR(INDEX(Rentabilidad!$B$4:$B$103,MATCH(LARGE(Rentabilidad!$F$4:$F$103,5),Rentabilidad!$F$4:$F$103,0)),"")</f>
        <v>Mouse Wireless Pro</v>
      </c>
      <c r="B11" s="3">
        <f>IFERROR(LARGE(Rentabilidad!$F$4:$F$103,5),0)</f>
        <v>5</v>
      </c>
      <c r="C11" s="100">
        <f>IFERROR(INDEX(Rentabilidad!$G$4:$G$103,MATCH(LARGE(Rentabilidad!$F$4:$F$103,5),Rentabilidad!$F$4:$F$103,0)),0)</f>
        <v>240</v>
      </c>
      <c r="D11" s="100">
        <f>IFERROR(INDEX(Rentabilidad!$I$4:$I$103,MATCH(LARGE(Rentabilidad!$F$4:$F$103,5),Rentabilidad!$F$4:$F$103,0)),0)</f>
        <v>130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25">
      <c r="A12" s="6" t="str">
        <f>IFERROR(INDEX(Rentabilidad!$B$4:$B$103,MATCH(LARGE(Rentabilidad!$F$4:$F$103,6),Rentabilidad!$F$4:$F$103,0)),"")</f>
        <v>Mouse Wireless Pro</v>
      </c>
      <c r="B12" s="6">
        <f>IFERROR(LARGE(Rentabilidad!$F$4:$F$103,6),0)</f>
        <v>5</v>
      </c>
      <c r="C12" s="99">
        <f>IFERROR(INDEX(Rentabilidad!$G$4:$G$103,MATCH(LARGE(Rentabilidad!$F$4:$F$103,6),Rentabilidad!$F$4:$F$103,0)),0)</f>
        <v>240</v>
      </c>
      <c r="D12" s="99">
        <f>IFERROR(INDEX(Rentabilidad!$I$4:$I$103,MATCH(LARGE(Rentabilidad!$F$4:$F$103,6),Rentabilidad!$F$4:$F$103,0)),0)</f>
        <v>130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5">
      <c r="A13" s="3" t="str">
        <f>IFERROR(INDEX(Rentabilidad!$B$4:$B$103,MATCH(LARGE(Rentabilidad!$F$4:$F$103,7),Rentabilidad!$F$4:$F$103,0)),"")</f>
        <v>Mouse Wireless Pro</v>
      </c>
      <c r="B13" s="3">
        <f>IFERROR(LARGE(Rentabilidad!$F$4:$F$103,7),0)</f>
        <v>5</v>
      </c>
      <c r="C13" s="100">
        <f>IFERROR(INDEX(Rentabilidad!$G$4:$G$103,MATCH(LARGE(Rentabilidad!$F$4:$F$103,7),Rentabilidad!$F$4:$F$103,0)),0)</f>
        <v>240</v>
      </c>
      <c r="D13" s="100">
        <f>IFERROR(INDEX(Rentabilidad!$I$4:$I$103,MATCH(LARGE(Rentabilidad!$F$4:$F$103,7),Rentabilidad!$F$4:$F$103,0)),0)</f>
        <v>130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 s="6" t="str">
        <f>IFERROR(INDEX(Rentabilidad!$B$4:$B$103,MATCH(LARGE(Rentabilidad!$F$4:$F$103,8),Rentabilidad!$F$4:$F$103,0)),"")</f>
        <v>Mouse Wireless Pro</v>
      </c>
      <c r="B14" s="6">
        <f>IFERROR(LARGE(Rentabilidad!$F$4:$F$103,8),0)</f>
        <v>5</v>
      </c>
      <c r="C14" s="99">
        <f>IFERROR(INDEX(Rentabilidad!$G$4:$G$103,MATCH(LARGE(Rentabilidad!$F$4:$F$103,8),Rentabilidad!$F$4:$F$103,0)),0)</f>
        <v>240</v>
      </c>
      <c r="D14" s="99">
        <f>IFERROR(INDEX(Rentabilidad!$I$4:$I$103,MATCH(LARGE(Rentabilidad!$F$4:$F$103,8),Rentabilidad!$F$4:$F$103,0)),0)</f>
        <v>130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A15" s="3" t="str">
        <f>IFERROR(INDEX(Rentabilidad!$B$4:$B$103,MATCH(LARGE(Rentabilidad!$F$4:$F$103,9),Rentabilidad!$F$4:$F$103,0)),"")</f>
        <v>Mouse Wireless Pro</v>
      </c>
      <c r="B15" s="3">
        <f>IFERROR(LARGE(Rentabilidad!$F$4:$F$103,9),0)</f>
        <v>5</v>
      </c>
      <c r="C15" s="100">
        <f>IFERROR(INDEX(Rentabilidad!$G$4:$G$103,MATCH(LARGE(Rentabilidad!$F$4:$F$103,9),Rentabilidad!$F$4:$F$103,0)),0)</f>
        <v>240</v>
      </c>
      <c r="D15" s="100">
        <f>IFERROR(INDEX(Rentabilidad!$I$4:$I$103,MATCH(LARGE(Rentabilidad!$F$4:$F$103,9),Rentabilidad!$F$4:$F$103,0)),0)</f>
        <v>130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6" t="str">
        <f>IFERROR(INDEX(Rentabilidad!$B$4:$B$103,MATCH(LARGE(Rentabilidad!$F$4:$F$103,10),Rentabilidad!$F$4:$F$103,0)),"")</f>
        <v>Mouse Wireless Pro</v>
      </c>
      <c r="B16" s="6">
        <f>IFERROR(LARGE(Rentabilidad!$F$4:$F$103,10),0)</f>
        <v>5</v>
      </c>
      <c r="C16" s="99">
        <f>IFERROR(INDEX(Rentabilidad!$G$4:$G$103,MATCH(LARGE(Rentabilidad!$F$4:$F$103,10),Rentabilidad!$F$4:$F$103,0)),0)</f>
        <v>240</v>
      </c>
      <c r="D16" s="99">
        <f>IFERROR(INDEX(Rentabilidad!$I$4:$I$103,MATCH(LARGE(Rentabilidad!$F$4:$F$103,10),Rentabilidad!$F$4:$F$103,0)),0)</f>
        <v>130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4" t="s">
        <v>13</v>
      </c>
      <c r="B19" s="14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5" t="s">
        <v>16</v>
      </c>
      <c r="B20" s="108">
        <f>SUMIF(Rentabilidad!$C$4:$C$103,A20,Rentabilidad!$I$4:$I$103)</f>
        <v>3550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5" t="s">
        <v>17</v>
      </c>
      <c r="B21" s="108">
        <f>SUMIF(Rentabilidad!$C$4:$C$103,A21,Rentabilidad!$I$4:$I$103)</f>
        <v>1506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5" t="s">
        <v>18</v>
      </c>
      <c r="B22" s="108">
        <f>SUMIF(Rentabilidad!$C$4:$C$103,A22,Rentabilidad!$I$4:$I$103)</f>
        <v>675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5" t="s">
        <v>24</v>
      </c>
      <c r="B23" s="108">
        <f>SUMIF(Rentabilidad!$C$4:$C$103,A23,Rentabilidad!$I$4:$I$103)</f>
        <v>650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5" t="s">
        <v>49</v>
      </c>
      <c r="B24" s="108">
        <f>SUMIF(Rentabilidad!$C$4:$C$103,A24,Rentabilidad!$I$4:$I$103)</f>
        <v>746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4" t="s">
        <v>50</v>
      </c>
      <c r="B26" s="14" t="s">
        <v>51</v>
      </c>
      <c r="C26" s="14" t="s">
        <v>52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5" t="s">
        <v>53</v>
      </c>
      <c r="B27" s="108">
        <f>SUMPRODUCT((Ventas!$A$4:$A$500&gt;=DATE(2026,1,1))*(Ventas!$A$4:$A$500&lt;=DATE(2026,1,31))*Ventas!$F$4:$F$500)</f>
        <v>17719</v>
      </c>
      <c r="C27" s="108">
        <f>SUMPRODUCT((Compras!$A$4:$A$500&gt;=DATE(2026,1,1))*(Compras!$A$4:$A$500&lt;=DATE(2026,1,31))*Compras!$F$4:$F$500)</f>
        <v>46077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5" t="s">
        <v>54</v>
      </c>
      <c r="B28" s="108">
        <f>SUMPRODUCT((Ventas!$A$4:$A$500&gt;=DATE(2026,2,1))*(Ventas!$A$4:$A$500&lt;=DATE(2026,2,28))*Ventas!$F$4:$F$500)</f>
        <v>6217</v>
      </c>
      <c r="C28" s="108">
        <f>SUMPRODUCT((Compras!$A$4:$A$500&gt;=DATE(2026,2,1))*(Compras!$A$4:$A$500&lt;=DATE(2026,2,28))*Compras!$F$4:$F$500)</f>
        <v>20460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5" t="s">
        <v>55</v>
      </c>
      <c r="B29" s="108">
        <f>SUMPRODUCT((Ventas!$A$4:$A$500&gt;=DATE(2026,3,1))*(Ventas!$A$4:$A$500&lt;=DATE(2026,3,31))*Ventas!$F$4:$F$500)</f>
        <v>8785</v>
      </c>
      <c r="C29" s="108">
        <f>SUMPRODUCT((Compras!$A$4:$A$500&gt;=DATE(2026,3,1))*(Compras!$A$4:$A$500&lt;=DATE(2026,3,31))*Compras!$F$4:$F$500)</f>
        <v>26071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</sheetData>
  <mergeCells count="2">
    <mergeCell ref="A1:S2"/>
    <mergeCell ref="A3:S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Formulario</vt:lpstr>
      <vt:lpstr>Productos</vt:lpstr>
      <vt:lpstr>Compras</vt:lpstr>
      <vt:lpstr>Ventas</vt:lpstr>
      <vt:lpstr>Inventario</vt:lpstr>
      <vt:lpstr>Rentabilidad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Andy Silverio</cp:lastModifiedBy>
  <cp:revision>1</cp:revision>
  <dcterms:created xsi:type="dcterms:W3CDTF">2026-03-29T13:54:39Z</dcterms:created>
  <dcterms:modified xsi:type="dcterms:W3CDTF">2026-03-30T03:50:50Z</dcterms:modified>
  <dc:language>en-US</dc:language>
</cp:coreProperties>
</file>